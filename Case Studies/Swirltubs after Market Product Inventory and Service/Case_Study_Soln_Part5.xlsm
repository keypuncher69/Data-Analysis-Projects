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MBAN\Completed Subjects\MBA 615B\Week 5\Case Study 5\"/>
    </mc:Choice>
  </mc:AlternateContent>
  <xr:revisionPtr revIDLastSave="0" documentId="13_ncr:1_{C8D8760B-F818-42FB-891C-C4275AA3A988}" xr6:coauthVersionLast="47" xr6:coauthVersionMax="47" xr10:uidLastSave="{00000000-0000-0000-0000-000000000000}"/>
  <bookViews>
    <workbookView xWindow="-108" yWindow="-108" windowWidth="23256" windowHeight="12576" tabRatio="626" activeTab="2" xr2:uid="{00000000-000D-0000-FFFF-FFFF00000000}"/>
  </bookViews>
  <sheets>
    <sheet name="Raw Data" sheetId="2" r:id="rId1"/>
    <sheet name="Macro Sheet (Don't Delete)" sheetId="29" r:id="rId2"/>
    <sheet name="New Stocked Parts" sheetId="26" r:id="rId3"/>
    <sheet name="Replication" sheetId="27" r:id="rId4"/>
    <sheet name="Test Data" sheetId="15" state="hidden" r:id="rId5"/>
    <sheet name="Heuristic 1" sheetId="17" state="hidden" r:id="rId6"/>
    <sheet name="Heuristic 2" sheetId="18" state="hidden" r:id="rId7"/>
    <sheet name="Heuristic 3" sheetId="19" state="hidden" r:id="rId8"/>
    <sheet name="Developed Heuristic 1" sheetId="23" state="hidden" r:id="rId9"/>
    <sheet name="Dev. Heuristic 2" sheetId="22" state="hidden" r:id="rId10"/>
    <sheet name="Dev. Heuristic 3" sheetId="24" state="hidden" r:id="rId11"/>
    <sheet name="Graphs" sheetId="25" state="hidden" r:id="rId12"/>
  </sheets>
  <definedNames>
    <definedName name="_xlnm._FilterDatabase" localSheetId="1" hidden="1">'Macro Sheet (Don''t Delete)'!$A$1:$J$417</definedName>
    <definedName name="_xlnm._FilterDatabase" localSheetId="2" hidden="1">'New Stocked Parts'!$A$1:$H$416</definedName>
    <definedName name="_xlnm._FilterDatabase" localSheetId="0">'Raw Data'!$A$1:$L$417</definedName>
    <definedName name="_xlnm._FilterDatabase" localSheetId="3" hidden="1">Replication!$A$2:$A$101</definedName>
    <definedName name="solver_adj" localSheetId="9" hidden="1">'Dev. Heuristic 2'!$G$2:$G$31</definedName>
    <definedName name="solver_adj" localSheetId="10" hidden="1">'Dev. Heuristic 3'!$G$2:$G$31</definedName>
    <definedName name="solver_adj" localSheetId="8" hidden="1">'Developed Heuristic 1'!$G$2:$G$31</definedName>
    <definedName name="solver_adj" localSheetId="5" hidden="1">'Heuristic 1'!$G$2:$G$31</definedName>
    <definedName name="solver_adj" localSheetId="6" hidden="1">'Heuristic 2'!$G$2:$G$31</definedName>
    <definedName name="solver_adj" localSheetId="7" hidden="1">'Heuristic 3'!$G$2:$G$31</definedName>
    <definedName name="solver_adj" localSheetId="0" hidden="1">'Raw Data'!#REF!</definedName>
    <definedName name="solver_adj" localSheetId="4" hidden="1">'Test Data'!$G$2:$G$31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0" hidden="1">0.0001</definedName>
    <definedName name="solver_cvg" localSheetId="4" hidden="1">0.0001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0" hidden="1">1</definedName>
    <definedName name="solver_drv" localSheetId="4" hidden="1">1</definedName>
    <definedName name="solver_eng" localSheetId="9" hidden="1">2</definedName>
    <definedName name="solver_eng" localSheetId="10" hidden="1">2</definedName>
    <definedName name="solver_eng" localSheetId="8" hidden="1">2</definedName>
    <definedName name="solver_eng" localSheetId="5" hidden="1">2</definedName>
    <definedName name="solver_eng" localSheetId="6" hidden="1">2</definedName>
    <definedName name="solver_eng" localSheetId="7" hidden="1">2</definedName>
    <definedName name="solver_eng" localSheetId="0" hidden="1">2</definedName>
    <definedName name="solver_eng" localSheetId="4" hidden="1">2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0" hidden="1">1</definedName>
    <definedName name="solver_est" localSheetId="4" hidden="1">1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0" hidden="1">2147483647</definedName>
    <definedName name="solver_itr" localSheetId="4" hidden="1">2147483647</definedName>
    <definedName name="solver_lhs1" localSheetId="9" hidden="1">'Dev. Heuristic 2'!$G$2:$G$31</definedName>
    <definedName name="solver_lhs1" localSheetId="10" hidden="1">'Dev. Heuristic 3'!$G$2:$G$31</definedName>
    <definedName name="solver_lhs1" localSheetId="8" hidden="1">'Developed Heuristic 1'!$G$2:$G$31</definedName>
    <definedName name="solver_lhs1" localSheetId="5" hidden="1">'Heuristic 1'!$G$2:$G$31</definedName>
    <definedName name="solver_lhs1" localSheetId="6" hidden="1">'Heuristic 2'!$G$2:$G$31</definedName>
    <definedName name="solver_lhs1" localSheetId="7" hidden="1">'Heuristic 3'!$G$2:$G$31</definedName>
    <definedName name="solver_lhs1" localSheetId="0" hidden="1">'Raw Data'!$D$2:$D$417</definedName>
    <definedName name="solver_lhs1" localSheetId="4" hidden="1">'Test Data'!$G$2:$G$31</definedName>
    <definedName name="solver_lhs2" localSheetId="9" hidden="1">'Dev. Heuristic 2'!$M$7</definedName>
    <definedName name="solver_lhs2" localSheetId="10" hidden="1">'Dev. Heuristic 3'!$M$7</definedName>
    <definedName name="solver_lhs2" localSheetId="8" hidden="1">'Developed Heuristic 1'!$M$3</definedName>
    <definedName name="solver_lhs2" localSheetId="5" hidden="1">'Heuristic 1'!$M$7</definedName>
    <definedName name="solver_lhs2" localSheetId="6" hidden="1">'Heuristic 2'!$M$7</definedName>
    <definedName name="solver_lhs2" localSheetId="7" hidden="1">'Heuristic 3'!$M$7</definedName>
    <definedName name="solver_lhs2" localSheetId="0" hidden="1">'Raw Data'!#REF!</definedName>
    <definedName name="solver_lhs2" localSheetId="4" hidden="1">'Test Data'!$M$7</definedName>
    <definedName name="solver_lhs3" localSheetId="0" hidden="1">'Raw Data'!#REF!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0" hidden="1">2147483647</definedName>
    <definedName name="solver_mip" localSheetId="4" hidden="1">2147483647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0" hidden="1">30</definedName>
    <definedName name="solver_mni" localSheetId="4" hidden="1">30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0" hidden="1">0.075</definedName>
    <definedName name="solver_mrt" localSheetId="4" hidden="1">0.075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0" hidden="1">2</definedName>
    <definedName name="solver_msl" localSheetId="4" hidden="1">2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0" hidden="1">1</definedName>
    <definedName name="solver_neg" localSheetId="4" hidden="1">1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0" hidden="1">2147483647</definedName>
    <definedName name="solver_nod" localSheetId="4" hidden="1">2147483647</definedName>
    <definedName name="solver_num" localSheetId="9" hidden="1">2</definedName>
    <definedName name="solver_num" localSheetId="10" hidden="1">2</definedName>
    <definedName name="solver_num" localSheetId="8" hidden="1">2</definedName>
    <definedName name="solver_num" localSheetId="5" hidden="1">2</definedName>
    <definedName name="solver_num" localSheetId="6" hidden="1">2</definedName>
    <definedName name="solver_num" localSheetId="7" hidden="1">2</definedName>
    <definedName name="solver_num" localSheetId="0" hidden="1">3</definedName>
    <definedName name="solver_num" localSheetId="4" hidden="1">2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0" hidden="1">1</definedName>
    <definedName name="solver_nwt" localSheetId="4" hidden="1">1</definedName>
    <definedName name="solver_opt" localSheetId="9" hidden="1">'Dev. Heuristic 2'!$M$5</definedName>
    <definedName name="solver_opt" localSheetId="10" hidden="1">'Dev. Heuristic 3'!$M$5</definedName>
    <definedName name="solver_opt" localSheetId="8" hidden="1">'Developed Heuristic 1'!#REF!</definedName>
    <definedName name="solver_opt" localSheetId="5" hidden="1">'Heuristic 1'!$M$5</definedName>
    <definedName name="solver_opt" localSheetId="6" hidden="1">'Heuristic 2'!$M$5</definedName>
    <definedName name="solver_opt" localSheetId="7" hidden="1">'Heuristic 3'!$M$5</definedName>
    <definedName name="solver_opt" localSheetId="0" hidden="1">'Raw Data'!#REF!</definedName>
    <definedName name="solver_opt" localSheetId="4" hidden="1">'Test Data'!$M$5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0" hidden="1">0.000001</definedName>
    <definedName name="solver_pre" localSheetId="4" hidden="1">0.000001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0" hidden="1">1</definedName>
    <definedName name="solver_rbv" localSheetId="4" hidden="1">1</definedName>
    <definedName name="solver_rel1" localSheetId="9" hidden="1">5</definedName>
    <definedName name="solver_rel1" localSheetId="10" hidden="1">5</definedName>
    <definedName name="solver_rel1" localSheetId="8" hidden="1">5</definedName>
    <definedName name="solver_rel1" localSheetId="5" hidden="1">5</definedName>
    <definedName name="solver_rel1" localSheetId="6" hidden="1">5</definedName>
    <definedName name="solver_rel1" localSheetId="7" hidden="1">5</definedName>
    <definedName name="solver_rel1" localSheetId="0" hidden="1">3</definedName>
    <definedName name="solver_rel1" localSheetId="4" hidden="1">5</definedName>
    <definedName name="solver_rel2" localSheetId="9" hidden="1">1</definedName>
    <definedName name="solver_rel2" localSheetId="10" hidden="1">1</definedName>
    <definedName name="solver_rel2" localSheetId="8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0" hidden="1">4</definedName>
    <definedName name="solver_rel2" localSheetId="4" hidden="1">1</definedName>
    <definedName name="solver_rel3" localSheetId="0" hidden="1">1</definedName>
    <definedName name="solver_rhs1" localSheetId="9" hidden="1">"binary"</definedName>
    <definedName name="solver_rhs1" localSheetId="10" hidden="1">"binary"</definedName>
    <definedName name="solver_rhs1" localSheetId="8" hidden="1">"binary"</definedName>
    <definedName name="solver_rhs1" localSheetId="5" hidden="1">"binary"</definedName>
    <definedName name="solver_rhs1" localSheetId="6" hidden="1">"binary"</definedName>
    <definedName name="solver_rhs1" localSheetId="7" hidden="1">"binary"</definedName>
    <definedName name="solver_rhs1" localSheetId="0" hidden="1">1.93</definedName>
    <definedName name="solver_rhs1" localSheetId="4" hidden="1">"binary"</definedName>
    <definedName name="solver_rhs2" localSheetId="9" hidden="1">50</definedName>
    <definedName name="solver_rhs2" localSheetId="10" hidden="1">50</definedName>
    <definedName name="solver_rhs2" localSheetId="8" hidden="1">50</definedName>
    <definedName name="solver_rhs2" localSheetId="5" hidden="1">50</definedName>
    <definedName name="solver_rhs2" localSheetId="6" hidden="1">50</definedName>
    <definedName name="solver_rhs2" localSheetId="7" hidden="1">50</definedName>
    <definedName name="solver_rhs2" localSheetId="0" hidden="1">"integer"</definedName>
    <definedName name="solver_rhs2" localSheetId="4" hidden="1">50</definedName>
    <definedName name="solver_rhs3" localSheetId="0" hidden="1">500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0" hidden="1">2</definedName>
    <definedName name="solver_rlx" localSheetId="4" hidden="1">2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0" hidden="1">0</definedName>
    <definedName name="solver_rsd" localSheetId="4" hidden="1">0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0" hidden="1">1</definedName>
    <definedName name="solver_scl" localSheetId="4" hidden="1">1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0" hidden="1">2</definedName>
    <definedName name="solver_sho" localSheetId="4" hidden="1">2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0" hidden="1">100</definedName>
    <definedName name="solver_ssz" localSheetId="4" hidden="1">100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0" hidden="1">2147483647</definedName>
    <definedName name="solver_tim" localSheetId="4" hidden="1">2147483647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0" hidden="1">0.01</definedName>
    <definedName name="solver_tol" localSheetId="4" hidden="1">0.01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0" hidden="1">2</definedName>
    <definedName name="solver_typ" localSheetId="4" hidden="1">2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0" hidden="1">0</definedName>
    <definedName name="solver_val" localSheetId="4" hidden="1">0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0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6" l="1"/>
  <c r="G5" i="26"/>
  <c r="G6" i="26" s="1"/>
  <c r="G7" i="26" s="1"/>
  <c r="G8" i="26" s="1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G98" i="26" s="1"/>
  <c r="G99" i="26" s="1"/>
  <c r="G100" i="26" s="1"/>
  <c r="G101" i="26" s="1"/>
  <c r="G102" i="26" s="1"/>
  <c r="G103" i="26" s="1"/>
  <c r="G104" i="26" s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262" i="26" s="1"/>
  <c r="G263" i="26" s="1"/>
  <c r="G264" i="26" s="1"/>
  <c r="G265" i="26" s="1"/>
  <c r="G266" i="26" s="1"/>
  <c r="G267" i="26" s="1"/>
  <c r="G268" i="26" s="1"/>
  <c r="G269" i="26" s="1"/>
  <c r="G270" i="26" s="1"/>
  <c r="G271" i="26" s="1"/>
  <c r="G272" i="26" s="1"/>
  <c r="G273" i="26" s="1"/>
  <c r="G274" i="26" s="1"/>
  <c r="G275" i="26" s="1"/>
  <c r="G276" i="26" s="1"/>
  <c r="G277" i="26" s="1"/>
  <c r="G278" i="26" s="1"/>
  <c r="G279" i="26" s="1"/>
  <c r="G280" i="26" s="1"/>
  <c r="G281" i="26" s="1"/>
  <c r="G282" i="26" s="1"/>
  <c r="G283" i="26" s="1"/>
  <c r="G284" i="26" s="1"/>
  <c r="G285" i="26" s="1"/>
  <c r="G286" i="26" s="1"/>
  <c r="G287" i="26" s="1"/>
  <c r="G288" i="26" s="1"/>
  <c r="G289" i="26" s="1"/>
  <c r="G290" i="26" s="1"/>
  <c r="G291" i="26" s="1"/>
  <c r="G292" i="26" s="1"/>
  <c r="G293" i="26" s="1"/>
  <c r="G294" i="26" s="1"/>
  <c r="G295" i="26" s="1"/>
  <c r="G296" i="26" s="1"/>
  <c r="G297" i="26" s="1"/>
  <c r="G298" i="26" s="1"/>
  <c r="G299" i="26" s="1"/>
  <c r="G300" i="26" s="1"/>
  <c r="G301" i="26" s="1"/>
  <c r="G302" i="26" s="1"/>
  <c r="G303" i="26" s="1"/>
  <c r="G304" i="26" s="1"/>
  <c r="G305" i="26" s="1"/>
  <c r="G306" i="26" s="1"/>
  <c r="G307" i="26" s="1"/>
  <c r="G308" i="26" s="1"/>
  <c r="G309" i="26" s="1"/>
  <c r="G310" i="26" s="1"/>
  <c r="G311" i="26" s="1"/>
  <c r="G312" i="26" s="1"/>
  <c r="G313" i="26" s="1"/>
  <c r="G314" i="26" s="1"/>
  <c r="G315" i="26" s="1"/>
  <c r="G316" i="26" s="1"/>
  <c r="G317" i="26" s="1"/>
  <c r="G318" i="26" s="1"/>
  <c r="G319" i="26" s="1"/>
  <c r="G320" i="26" s="1"/>
  <c r="G321" i="26" s="1"/>
  <c r="G322" i="26" s="1"/>
  <c r="G323" i="26" s="1"/>
  <c r="G324" i="26" s="1"/>
  <c r="G325" i="26" s="1"/>
  <c r="G326" i="26" s="1"/>
  <c r="G327" i="26" s="1"/>
  <c r="G328" i="26" s="1"/>
  <c r="G329" i="26" s="1"/>
  <c r="G330" i="26" s="1"/>
  <c r="G331" i="26" s="1"/>
  <c r="G332" i="26" s="1"/>
  <c r="G333" i="26" s="1"/>
  <c r="G334" i="26" s="1"/>
  <c r="G335" i="26" s="1"/>
  <c r="G336" i="26" s="1"/>
  <c r="G337" i="26" s="1"/>
  <c r="G338" i="26" s="1"/>
  <c r="G339" i="26" s="1"/>
  <c r="G340" i="26" s="1"/>
  <c r="G341" i="26" s="1"/>
  <c r="G342" i="26" s="1"/>
  <c r="G343" i="26" s="1"/>
  <c r="G344" i="26" s="1"/>
  <c r="G345" i="26" s="1"/>
  <c r="G346" i="26" s="1"/>
  <c r="G347" i="26" s="1"/>
  <c r="G348" i="26" s="1"/>
  <c r="G349" i="26" s="1"/>
  <c r="G350" i="26" s="1"/>
  <c r="G351" i="26" s="1"/>
  <c r="G352" i="26" s="1"/>
  <c r="G353" i="26" s="1"/>
  <c r="G354" i="26" s="1"/>
  <c r="G355" i="26" s="1"/>
  <c r="G356" i="26" s="1"/>
  <c r="G357" i="26" s="1"/>
  <c r="G358" i="26" s="1"/>
  <c r="G359" i="26" s="1"/>
  <c r="G360" i="26" s="1"/>
  <c r="G361" i="26" s="1"/>
  <c r="G362" i="26" s="1"/>
  <c r="G363" i="26" s="1"/>
  <c r="G364" i="26" s="1"/>
  <c r="G365" i="26" s="1"/>
  <c r="G366" i="26" s="1"/>
  <c r="G367" i="26" s="1"/>
  <c r="G368" i="26" s="1"/>
  <c r="G369" i="26" s="1"/>
  <c r="G370" i="26" s="1"/>
  <c r="G371" i="26" s="1"/>
  <c r="G372" i="26" s="1"/>
  <c r="G373" i="26" s="1"/>
  <c r="G374" i="26" s="1"/>
  <c r="G375" i="26" s="1"/>
  <c r="G376" i="26" s="1"/>
  <c r="G377" i="26" s="1"/>
  <c r="G378" i="26" s="1"/>
  <c r="G379" i="26" s="1"/>
  <c r="G380" i="26" s="1"/>
  <c r="G381" i="26" s="1"/>
  <c r="G382" i="26" s="1"/>
  <c r="G383" i="26" s="1"/>
  <c r="G384" i="26" s="1"/>
  <c r="G385" i="26" s="1"/>
  <c r="G386" i="26" s="1"/>
  <c r="G387" i="26" s="1"/>
  <c r="G388" i="26" s="1"/>
  <c r="G389" i="26" s="1"/>
  <c r="G390" i="26" s="1"/>
  <c r="G391" i="26" s="1"/>
  <c r="G392" i="26" s="1"/>
  <c r="G393" i="26" s="1"/>
  <c r="G394" i="26" s="1"/>
  <c r="G395" i="26" s="1"/>
  <c r="G396" i="26" s="1"/>
  <c r="G397" i="26" s="1"/>
  <c r="G398" i="26" s="1"/>
  <c r="G399" i="26" s="1"/>
  <c r="G400" i="26" s="1"/>
  <c r="G401" i="26" s="1"/>
  <c r="G402" i="26" s="1"/>
  <c r="G403" i="26" s="1"/>
  <c r="G404" i="26" s="1"/>
  <c r="G405" i="26" s="1"/>
  <c r="G406" i="26" s="1"/>
  <c r="G407" i="26" s="1"/>
  <c r="G408" i="26" s="1"/>
  <c r="G409" i="26" s="1"/>
  <c r="G410" i="26" s="1"/>
  <c r="G411" i="26" s="1"/>
  <c r="G412" i="26" s="1"/>
  <c r="G413" i="26" s="1"/>
  <c r="G414" i="26" s="1"/>
  <c r="G415" i="26" s="1"/>
  <c r="G3" i="26"/>
  <c r="G2" i="26"/>
  <c r="B203" i="26"/>
  <c r="B24" i="26"/>
  <c r="B47" i="26"/>
  <c r="B280" i="26"/>
  <c r="B14" i="26"/>
  <c r="B5" i="26"/>
  <c r="B20" i="26"/>
  <c r="B9" i="26"/>
  <c r="B68" i="26"/>
  <c r="B186" i="26"/>
  <c r="B158" i="26"/>
  <c r="B11" i="26"/>
  <c r="B110" i="26"/>
  <c r="B166" i="26"/>
  <c r="B244" i="26"/>
  <c r="B34" i="26"/>
  <c r="B216" i="26"/>
  <c r="B144" i="26"/>
  <c r="B253" i="26"/>
  <c r="B266" i="26"/>
  <c r="B141" i="26"/>
  <c r="B188" i="26"/>
  <c r="B241" i="26"/>
  <c r="B69" i="26"/>
  <c r="B22" i="26"/>
  <c r="B45" i="26"/>
  <c r="B242" i="26"/>
  <c r="B185" i="26"/>
  <c r="B285" i="26"/>
  <c r="B39" i="26"/>
  <c r="B142" i="26"/>
  <c r="B289" i="26"/>
  <c r="B306" i="26"/>
  <c r="B118" i="26"/>
  <c r="B37" i="26"/>
  <c r="B7" i="26"/>
  <c r="B25" i="26"/>
  <c r="B6" i="26"/>
  <c r="B88" i="26"/>
  <c r="B2" i="26"/>
  <c r="B84" i="26"/>
  <c r="B167" i="26"/>
  <c r="B70" i="26"/>
  <c r="B63" i="26"/>
  <c r="B279" i="26"/>
  <c r="B97" i="26"/>
  <c r="B17" i="26"/>
  <c r="B207" i="26"/>
  <c r="B184" i="26"/>
  <c r="B191" i="26"/>
  <c r="B318" i="26"/>
  <c r="B29" i="26"/>
  <c r="B98" i="26"/>
  <c r="B172" i="26"/>
  <c r="B327" i="26"/>
  <c r="B304" i="26"/>
  <c r="B265" i="26"/>
  <c r="B286" i="26"/>
  <c r="B332" i="26"/>
  <c r="B240" i="26"/>
  <c r="B254" i="26"/>
  <c r="B328" i="26"/>
  <c r="B267" i="26"/>
  <c r="B287" i="26"/>
  <c r="B4" i="26"/>
  <c r="B32" i="26"/>
  <c r="B130" i="26"/>
  <c r="B67" i="26"/>
  <c r="B8" i="26"/>
  <c r="B28" i="26"/>
  <c r="B58" i="26"/>
  <c r="B18" i="26"/>
  <c r="B111" i="26"/>
  <c r="B103" i="26"/>
  <c r="B160" i="26"/>
  <c r="B89" i="26"/>
  <c r="B46" i="26"/>
  <c r="B83" i="26"/>
  <c r="B133" i="26"/>
  <c r="B338" i="26"/>
  <c r="B245" i="26"/>
  <c r="B150" i="26"/>
  <c r="B30" i="26"/>
  <c r="B112" i="26"/>
  <c r="B352" i="26"/>
  <c r="B134" i="26"/>
  <c r="B288" i="26"/>
  <c r="B247" i="26"/>
  <c r="B197" i="26"/>
  <c r="B281" i="26"/>
  <c r="B156" i="26"/>
  <c r="B131" i="26"/>
  <c r="B175" i="26"/>
  <c r="B135" i="26"/>
  <c r="B329" i="26"/>
  <c r="B42" i="26"/>
  <c r="B290" i="26"/>
  <c r="B340" i="26"/>
  <c r="B379" i="26"/>
  <c r="B41" i="26"/>
  <c r="B54" i="26"/>
  <c r="B73" i="26"/>
  <c r="B3" i="26"/>
  <c r="B10" i="26"/>
  <c r="B48" i="26"/>
  <c r="B95" i="26"/>
  <c r="B23" i="26"/>
  <c r="B55" i="26"/>
  <c r="B92" i="26"/>
  <c r="B71" i="26"/>
  <c r="B269" i="26"/>
  <c r="B123" i="26"/>
  <c r="B21" i="26"/>
  <c r="B189" i="26"/>
  <c r="B60" i="26"/>
  <c r="B195" i="26"/>
  <c r="B79" i="26"/>
  <c r="B148" i="26"/>
  <c r="B173" i="26"/>
  <c r="B339" i="26"/>
  <c r="B369" i="26"/>
  <c r="B208" i="26"/>
  <c r="B59" i="26"/>
  <c r="B33" i="26"/>
  <c r="B115" i="26"/>
  <c r="B12" i="26"/>
  <c r="B15" i="26"/>
  <c r="B80" i="26"/>
  <c r="B51" i="26"/>
  <c r="B145" i="26"/>
  <c r="B26" i="26"/>
  <c r="B90" i="26"/>
  <c r="B309" i="26"/>
  <c r="B341" i="26"/>
  <c r="B343" i="26"/>
  <c r="B218" i="26"/>
  <c r="B322" i="26"/>
  <c r="B31" i="26"/>
  <c r="B230" i="26"/>
  <c r="B147" i="26"/>
  <c r="B330" i="26"/>
  <c r="B210" i="26"/>
  <c r="B217" i="26"/>
  <c r="B65" i="26"/>
  <c r="B113" i="26"/>
  <c r="B35" i="26"/>
  <c r="B117" i="26"/>
  <c r="B78" i="26"/>
  <c r="B174" i="26"/>
  <c r="B43" i="26"/>
  <c r="B87" i="26"/>
  <c r="B231" i="26"/>
  <c r="B66" i="26"/>
  <c r="B136" i="26"/>
  <c r="B384" i="26"/>
  <c r="B149" i="26"/>
  <c r="B93" i="26"/>
  <c r="B116" i="26"/>
  <c r="B27" i="26"/>
  <c r="B75" i="26"/>
  <c r="B143" i="26"/>
  <c r="B177" i="26"/>
  <c r="B205" i="26"/>
  <c r="B323" i="26"/>
  <c r="B233" i="26"/>
  <c r="B127" i="26"/>
  <c r="B49" i="26"/>
  <c r="B61" i="26"/>
  <c r="B53" i="26"/>
  <c r="B354" i="26"/>
  <c r="B50" i="26"/>
  <c r="B154" i="26"/>
  <c r="B370" i="26"/>
  <c r="B99" i="26"/>
  <c r="B16" i="26"/>
  <c r="B255" i="26"/>
  <c r="B56" i="26"/>
  <c r="B121" i="26"/>
  <c r="B311" i="26"/>
  <c r="B298" i="26"/>
  <c r="B168" i="26"/>
  <c r="B209" i="26"/>
  <c r="B380" i="26"/>
  <c r="B137" i="26"/>
  <c r="B356" i="26"/>
  <c r="B161" i="26"/>
  <c r="B259" i="26"/>
  <c r="B104" i="26"/>
  <c r="B151" i="26"/>
  <c r="B313" i="26"/>
  <c r="B13" i="26"/>
  <c r="B100" i="26"/>
  <c r="B52" i="26"/>
  <c r="B19" i="26"/>
  <c r="B85" i="26"/>
  <c r="B310" i="26"/>
  <c r="B333" i="26"/>
  <c r="B72" i="26"/>
  <c r="B178" i="26"/>
  <c r="B357" i="26"/>
  <c r="B81" i="26"/>
  <c r="B77" i="26"/>
  <c r="B57" i="26"/>
  <c r="B106" i="26"/>
  <c r="B213" i="26"/>
  <c r="B296" i="26"/>
  <c r="B198" i="26"/>
  <c r="B220" i="26"/>
  <c r="B260" i="26"/>
  <c r="B334" i="26"/>
  <c r="B192" i="26"/>
  <c r="B199" i="26"/>
  <c r="B101" i="26"/>
  <c r="B182" i="26"/>
  <c r="B291" i="26"/>
  <c r="B391" i="26"/>
  <c r="B248" i="26"/>
  <c r="B382" i="26"/>
  <c r="B162" i="26"/>
  <c r="B312" i="26"/>
  <c r="B36" i="26"/>
  <c r="B246" i="26"/>
  <c r="B105" i="26"/>
  <c r="B258" i="26"/>
  <c r="B335" i="26"/>
  <c r="B292" i="26"/>
  <c r="B314" i="26"/>
  <c r="B234" i="26"/>
  <c r="B64" i="26"/>
  <c r="B76" i="26"/>
  <c r="B128" i="26"/>
  <c r="B237" i="26"/>
  <c r="B108" i="26"/>
  <c r="B107" i="26"/>
  <c r="B294" i="26"/>
  <c r="B252" i="26"/>
  <c r="B180" i="26"/>
  <c r="B222" i="26"/>
  <c r="B164" i="26"/>
  <c r="B272" i="26"/>
  <c r="B386" i="26"/>
  <c r="B44" i="26"/>
  <c r="B163" i="26"/>
  <c r="B82" i="26"/>
  <c r="B201" i="26"/>
  <c r="B221" i="26"/>
  <c r="B407" i="26"/>
  <c r="B152" i="26"/>
  <c r="B125" i="26"/>
  <c r="B183" i="26"/>
  <c r="B282" i="26"/>
  <c r="B235" i="26"/>
  <c r="B371" i="26"/>
  <c r="B169" i="26"/>
  <c r="B392" i="26"/>
  <c r="B126" i="26"/>
  <c r="B181" i="26"/>
  <c r="B388" i="26"/>
  <c r="B346" i="26"/>
  <c r="B224" i="26"/>
  <c r="B96" i="26"/>
  <c r="B225" i="26"/>
  <c r="B109" i="26"/>
  <c r="B273" i="26"/>
  <c r="B299" i="26"/>
  <c r="B262" i="26"/>
  <c r="B250" i="26"/>
  <c r="B249" i="26"/>
  <c r="B146" i="26"/>
  <c r="B155" i="26"/>
  <c r="B74" i="26"/>
  <c r="B38" i="26"/>
  <c r="B276" i="26"/>
  <c r="B94" i="26"/>
  <c r="B138" i="26"/>
  <c r="B62" i="26"/>
  <c r="B324" i="26"/>
  <c r="B40" i="26"/>
  <c r="B277" i="26"/>
  <c r="B373" i="26"/>
  <c r="B227" i="26"/>
  <c r="B102" i="26"/>
  <c r="B196" i="26"/>
  <c r="B129" i="26"/>
  <c r="B228" i="26"/>
  <c r="B119" i="26"/>
  <c r="B157" i="26"/>
  <c r="B86" i="26"/>
  <c r="B120" i="26"/>
  <c r="B139" i="26"/>
  <c r="B124" i="26"/>
  <c r="B301" i="26"/>
  <c r="B190" i="26"/>
  <c r="B176" i="26"/>
  <c r="B132" i="26"/>
  <c r="B171" i="26"/>
  <c r="B194" i="26"/>
  <c r="B187" i="26"/>
  <c r="B271" i="26"/>
  <c r="B91" i="26"/>
  <c r="B114" i="26"/>
  <c r="B284" i="26"/>
  <c r="B122" i="26"/>
  <c r="B410" i="26"/>
  <c r="B303" i="26"/>
  <c r="B400" i="26"/>
  <c r="B212" i="26"/>
  <c r="B159" i="26"/>
  <c r="B243" i="26"/>
  <c r="B193" i="26"/>
  <c r="B270" i="26"/>
  <c r="B140" i="26"/>
  <c r="B337" i="26"/>
  <c r="B376" i="26"/>
  <c r="B206" i="26"/>
  <c r="B367" i="26"/>
  <c r="B257" i="26"/>
  <c r="B232" i="26"/>
  <c r="B165" i="26"/>
  <c r="B358" i="26"/>
  <c r="B214" i="26"/>
  <c r="B278" i="26"/>
  <c r="B219" i="26"/>
  <c r="B256" i="26"/>
  <c r="B307" i="26"/>
  <c r="B336" i="26"/>
  <c r="B179" i="26"/>
  <c r="B215" i="26"/>
  <c r="B319" i="26"/>
  <c r="B362" i="26"/>
  <c r="B236" i="26"/>
  <c r="B170" i="26"/>
  <c r="B305" i="26"/>
  <c r="B229" i="26"/>
  <c r="B397" i="26"/>
  <c r="B211" i="26"/>
  <c r="B153" i="26"/>
  <c r="B264" i="26"/>
  <c r="B374" i="26"/>
  <c r="B320" i="26"/>
  <c r="B223" i="26"/>
  <c r="B293" i="26"/>
  <c r="B238" i="26"/>
  <c r="B251" i="26"/>
  <c r="B414" i="26"/>
  <c r="B308" i="26"/>
  <c r="B239" i="26"/>
  <c r="B268" i="26"/>
  <c r="B378" i="26"/>
  <c r="B302" i="26"/>
  <c r="B275" i="26"/>
  <c r="B261" i="26"/>
  <c r="B355" i="26"/>
  <c r="B315" i="26"/>
  <c r="B321" i="26"/>
  <c r="B342" i="26"/>
  <c r="B344" i="26"/>
  <c r="B377" i="26"/>
  <c r="B368" i="26"/>
  <c r="B349" i="26"/>
  <c r="B274" i="26"/>
  <c r="B297" i="26"/>
  <c r="B295" i="26"/>
  <c r="B415" i="26"/>
  <c r="B325" i="26"/>
  <c r="B385" i="26"/>
  <c r="B263" i="26"/>
  <c r="B316" i="26"/>
  <c r="B366" i="26"/>
  <c r="B331" i="26"/>
  <c r="B202" i="26"/>
  <c r="B226" i="26"/>
  <c r="B363" i="26"/>
  <c r="B200" i="26"/>
  <c r="B283" i="26"/>
  <c r="B398" i="26"/>
  <c r="B351" i="26"/>
  <c r="B300" i="26"/>
  <c r="B365" i="26"/>
  <c r="B393" i="26"/>
  <c r="B381" i="26"/>
  <c r="B383" i="26"/>
  <c r="B353" i="26"/>
  <c r="B359" i="26"/>
  <c r="B326" i="26"/>
  <c r="B347" i="26"/>
  <c r="B317" i="26"/>
  <c r="B401" i="26"/>
  <c r="B345" i="26"/>
  <c r="B348" i="26"/>
  <c r="B390" i="26"/>
  <c r="B389" i="26"/>
  <c r="B372" i="26"/>
  <c r="B402" i="26"/>
  <c r="B360" i="26"/>
  <c r="B394" i="26"/>
  <c r="B406" i="26"/>
  <c r="B411" i="26"/>
  <c r="B361" i="26"/>
  <c r="B395" i="26"/>
  <c r="B413" i="26"/>
  <c r="B350" i="26"/>
  <c r="B412" i="26"/>
  <c r="B396" i="26"/>
  <c r="B375" i="26"/>
  <c r="B404" i="26"/>
  <c r="B387" i="26"/>
  <c r="B408" i="26"/>
  <c r="B409" i="26"/>
  <c r="B405" i="26"/>
  <c r="B399" i="26"/>
  <c r="B403" i="26"/>
  <c r="B364" i="26"/>
  <c r="B416" i="26"/>
  <c r="I416" i="26" s="1"/>
  <c r="B204" i="26"/>
  <c r="L4" i="2"/>
  <c r="L5" i="2" s="1"/>
  <c r="L6" i="2" s="1"/>
  <c r="L7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86" i="2" s="1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217" i="2" s="1"/>
  <c r="L218" i="2" s="1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L338" i="2" s="1"/>
  <c r="L339" i="2" s="1"/>
  <c r="L340" i="2" s="1"/>
  <c r="L341" i="2" s="1"/>
  <c r="L342" i="2" s="1"/>
  <c r="L343" i="2" s="1"/>
  <c r="L344" i="2" s="1"/>
  <c r="L345" i="2" s="1"/>
  <c r="L346" i="2" s="1"/>
  <c r="L347" i="2" s="1"/>
  <c r="L348" i="2" s="1"/>
  <c r="L349" i="2" s="1"/>
  <c r="L350" i="2" s="1"/>
  <c r="L351" i="2" s="1"/>
  <c r="L352" i="2" s="1"/>
  <c r="L353" i="2" s="1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L371" i="2" s="1"/>
  <c r="L372" i="2" s="1"/>
  <c r="L373" i="2" s="1"/>
  <c r="L374" i="2" s="1"/>
  <c r="L375" i="2" s="1"/>
  <c r="L376" i="2" s="1"/>
  <c r="L377" i="2" s="1"/>
  <c r="L378" i="2" s="1"/>
  <c r="L379" i="2" s="1"/>
  <c r="L380" i="2" s="1"/>
  <c r="L381" i="2" s="1"/>
  <c r="L382" i="2" s="1"/>
  <c r="L383" i="2" s="1"/>
  <c r="L384" i="2" s="1"/>
  <c r="L385" i="2" s="1"/>
  <c r="L386" i="2" s="1"/>
  <c r="L387" i="2" s="1"/>
  <c r="L388" i="2" s="1"/>
  <c r="L389" i="2" s="1"/>
  <c r="L390" i="2" s="1"/>
  <c r="L391" i="2" s="1"/>
  <c r="L392" i="2" s="1"/>
  <c r="L393" i="2" s="1"/>
  <c r="L394" i="2" s="1"/>
  <c r="L395" i="2" s="1"/>
  <c r="L396" i="2" s="1"/>
  <c r="L397" i="2" s="1"/>
  <c r="L398" i="2" s="1"/>
  <c r="L399" i="2" s="1"/>
  <c r="L400" i="2" s="1"/>
  <c r="L401" i="2" s="1"/>
  <c r="L402" i="2" s="1"/>
  <c r="L403" i="2" s="1"/>
  <c r="L404" i="2" s="1"/>
  <c r="L405" i="2" s="1"/>
  <c r="L406" i="2" s="1"/>
  <c r="L407" i="2" s="1"/>
  <c r="L408" i="2" s="1"/>
  <c r="L409" i="2" s="1"/>
  <c r="L410" i="2" s="1"/>
  <c r="L411" i="2" s="1"/>
  <c r="L412" i="2" s="1"/>
  <c r="L413" i="2" s="1"/>
  <c r="L414" i="2" s="1"/>
  <c r="L415" i="2" s="1"/>
  <c r="L416" i="2" s="1"/>
  <c r="L417" i="2" s="1"/>
  <c r="L2" i="2"/>
  <c r="F45" i="26"/>
  <c r="F95" i="26"/>
  <c r="F153" i="26"/>
  <c r="F8" i="26"/>
  <c r="F15" i="26"/>
  <c r="F121" i="26"/>
  <c r="F224" i="26"/>
  <c r="F273" i="26"/>
  <c r="F223" i="26"/>
  <c r="F55" i="26"/>
  <c r="F340" i="26"/>
  <c r="F395" i="26"/>
  <c r="F117" i="26"/>
  <c r="F200" i="26"/>
  <c r="F338" i="26"/>
  <c r="F216" i="26"/>
  <c r="F4" i="26"/>
  <c r="F245" i="26"/>
  <c r="F7" i="26"/>
  <c r="F329" i="26"/>
  <c r="F251" i="26"/>
  <c r="F321" i="26"/>
  <c r="F36" i="26"/>
  <c r="F2" i="26"/>
  <c r="F37" i="26"/>
  <c r="F181" i="26"/>
  <c r="F49" i="26"/>
  <c r="F378" i="26"/>
  <c r="F51" i="26"/>
  <c r="F111" i="26"/>
  <c r="F246" i="26"/>
  <c r="F147" i="26"/>
  <c r="F20" i="26"/>
  <c r="F342" i="26"/>
  <c r="F188" i="26"/>
  <c r="F110" i="26"/>
  <c r="F351" i="26"/>
  <c r="F263" i="26"/>
  <c r="F69" i="26"/>
  <c r="F324" i="26"/>
  <c r="F327" i="26"/>
  <c r="F152" i="26"/>
  <c r="F393" i="26"/>
  <c r="F312" i="26"/>
  <c r="F38" i="26"/>
  <c r="F195" i="26"/>
  <c r="F93" i="26"/>
  <c r="F192" i="26"/>
  <c r="F130" i="26"/>
  <c r="F212" i="26"/>
  <c r="F30" i="26"/>
  <c r="F128" i="26"/>
  <c r="F27" i="26"/>
  <c r="F97" i="26"/>
  <c r="F328" i="26"/>
  <c r="F21" i="26"/>
  <c r="F66" i="26"/>
  <c r="F240" i="26"/>
  <c r="F134" i="26"/>
  <c r="F161" i="26"/>
  <c r="F215" i="26"/>
  <c r="F300" i="26"/>
  <c r="F399" i="26"/>
  <c r="F394" i="26"/>
  <c r="F167" i="26"/>
  <c r="F175" i="26"/>
  <c r="F379" i="26"/>
  <c r="F387" i="26"/>
  <c r="F26" i="26"/>
  <c r="F295" i="26"/>
  <c r="F346" i="26"/>
  <c r="F409" i="26"/>
  <c r="F172" i="26"/>
  <c r="F125" i="26"/>
  <c r="F18" i="26"/>
  <c r="F74" i="26"/>
  <c r="F101" i="26"/>
  <c r="F385" i="26"/>
  <c r="F291" i="26"/>
  <c r="F82" i="26"/>
  <c r="F40" i="26"/>
  <c r="F164" i="26"/>
  <c r="F68" i="26"/>
  <c r="F247" i="26"/>
  <c r="F297" i="26"/>
  <c r="F160" i="26"/>
  <c r="F359" i="26"/>
  <c r="F50" i="26"/>
  <c r="F382" i="26"/>
  <c r="F73" i="26"/>
  <c r="F105" i="26"/>
  <c r="F9" i="26"/>
  <c r="F255" i="26"/>
  <c r="F343" i="26"/>
  <c r="F373" i="26"/>
  <c r="F162" i="26"/>
  <c r="F225" i="26"/>
  <c r="F268" i="26"/>
  <c r="F374" i="26"/>
  <c r="F158" i="26"/>
  <c r="F205" i="26"/>
  <c r="F103" i="26"/>
  <c r="F25" i="26"/>
  <c r="F279" i="26"/>
  <c r="F380" i="26"/>
  <c r="F96" i="26"/>
  <c r="F221" i="26"/>
  <c r="F253" i="26"/>
  <c r="F39" i="26"/>
  <c r="F233" i="26"/>
  <c r="F391" i="26"/>
  <c r="F360" i="26"/>
  <c r="F52" i="26"/>
  <c r="F34" i="26"/>
  <c r="F250" i="26"/>
  <c r="F204" i="26"/>
  <c r="F306" i="26"/>
  <c r="F187" i="26"/>
  <c r="F33" i="26"/>
  <c r="F288" i="26"/>
  <c r="F191" i="26"/>
  <c r="F367" i="26"/>
  <c r="F282" i="26"/>
  <c r="F201" i="26"/>
  <c r="F75" i="26"/>
  <c r="F182" i="26"/>
  <c r="F229" i="26"/>
  <c r="F228" i="26"/>
  <c r="F239" i="26"/>
  <c r="F106" i="26"/>
  <c r="F320" i="26"/>
  <c r="F90" i="26"/>
  <c r="F314" i="26"/>
  <c r="F337" i="26"/>
  <c r="F61" i="26"/>
  <c r="F412" i="26"/>
  <c r="F173" i="26"/>
  <c r="F72" i="26"/>
  <c r="F137" i="26"/>
  <c r="F302" i="26"/>
  <c r="F299" i="26"/>
  <c r="F303" i="26"/>
  <c r="F277" i="26"/>
  <c r="F165" i="26"/>
  <c r="F208" i="26"/>
  <c r="F131" i="26"/>
  <c r="F310" i="26"/>
  <c r="F290" i="26"/>
  <c r="F256" i="26"/>
  <c r="F56" i="26"/>
  <c r="F403" i="26"/>
  <c r="F383" i="26"/>
  <c r="F353" i="26"/>
  <c r="F163" i="26"/>
  <c r="F344" i="26"/>
  <c r="F371" i="26"/>
  <c r="F6" i="26"/>
  <c r="F364" i="26"/>
  <c r="F362" i="26"/>
  <c r="F294" i="26"/>
  <c r="F174" i="26"/>
  <c r="F249" i="26"/>
  <c r="F180" i="26"/>
  <c r="F150" i="26"/>
  <c r="F43" i="26"/>
  <c r="F366" i="26"/>
  <c r="F114" i="26"/>
  <c r="F352" i="26"/>
  <c r="F149" i="26"/>
  <c r="F141" i="26"/>
  <c r="F98" i="26"/>
  <c r="F361" i="26"/>
  <c r="F126" i="26"/>
  <c r="F88" i="26"/>
  <c r="F323" i="26"/>
  <c r="F392" i="26"/>
  <c r="F202" i="26"/>
  <c r="F292" i="26"/>
  <c r="F197" i="26"/>
  <c r="F119" i="26"/>
  <c r="F286" i="26"/>
  <c r="F341" i="26"/>
  <c r="F333" i="26"/>
  <c r="F151" i="26"/>
  <c r="F369" i="26"/>
  <c r="F53" i="26"/>
  <c r="F19" i="26"/>
  <c r="F87" i="26"/>
  <c r="F59" i="26"/>
  <c r="F265" i="26"/>
  <c r="F214" i="26"/>
  <c r="F244" i="26"/>
  <c r="F62" i="26"/>
  <c r="F309" i="26"/>
  <c r="F138" i="26"/>
  <c r="F44" i="26"/>
  <c r="F280" i="26"/>
  <c r="F267" i="26"/>
  <c r="F350" i="26"/>
  <c r="F144" i="26"/>
  <c r="F274" i="26"/>
  <c r="F241" i="26"/>
  <c r="F198" i="26"/>
  <c r="F397" i="26"/>
  <c r="F335" i="26"/>
  <c r="F259" i="26"/>
  <c r="F336" i="26"/>
  <c r="F260" i="26"/>
  <c r="F389" i="26"/>
  <c r="F77" i="26"/>
  <c r="F222" i="26"/>
  <c r="F410" i="26"/>
  <c r="F400" i="26"/>
  <c r="F17" i="26"/>
  <c r="F60" i="26"/>
  <c r="F407" i="26"/>
  <c r="F135" i="26"/>
  <c r="F148" i="26"/>
  <c r="F326" i="26"/>
  <c r="F368" i="26"/>
  <c r="F396" i="26"/>
  <c r="F99" i="26"/>
  <c r="F145" i="26"/>
  <c r="F210" i="26"/>
  <c r="F220" i="26"/>
  <c r="F315" i="26"/>
  <c r="F301" i="26"/>
  <c r="F85" i="26"/>
  <c r="F330" i="26"/>
  <c r="F349" i="26"/>
  <c r="F142" i="26"/>
  <c r="F156" i="26"/>
  <c r="F83" i="26"/>
  <c r="F168" i="26"/>
  <c r="F24" i="26"/>
  <c r="F129" i="26"/>
  <c r="F217" i="26"/>
  <c r="F31" i="26"/>
  <c r="F405" i="26"/>
  <c r="F146" i="26"/>
  <c r="F381" i="26"/>
  <c r="F29" i="26"/>
  <c r="F203" i="26"/>
  <c r="F22" i="26"/>
  <c r="F23" i="26"/>
  <c r="F331" i="26"/>
  <c r="F284" i="26"/>
  <c r="F178" i="26"/>
  <c r="F169" i="26"/>
  <c r="F287" i="26"/>
  <c r="F112" i="26"/>
  <c r="F276" i="26"/>
  <c r="F237" i="26"/>
  <c r="F65" i="26"/>
  <c r="F159" i="26"/>
  <c r="F28" i="26"/>
  <c r="F322" i="26"/>
  <c r="F54" i="26"/>
  <c r="F252" i="26"/>
  <c r="F190" i="26"/>
  <c r="F307" i="26"/>
  <c r="F402" i="26"/>
  <c r="F113" i="26"/>
  <c r="F226" i="26"/>
  <c r="F370" i="26"/>
  <c r="F281" i="26"/>
  <c r="F234" i="26"/>
  <c r="F414" i="26"/>
  <c r="F10" i="26"/>
  <c r="F345" i="26"/>
  <c r="F296" i="26"/>
  <c r="F64" i="26"/>
  <c r="F107" i="26"/>
  <c r="F78" i="26"/>
  <c r="F317" i="26"/>
  <c r="F254" i="26"/>
  <c r="F186" i="26"/>
  <c r="F84" i="26"/>
  <c r="F16" i="26"/>
  <c r="F206" i="26"/>
  <c r="F199" i="26"/>
  <c r="F357" i="26"/>
  <c r="F47" i="26"/>
  <c r="F376" i="26"/>
  <c r="F170" i="26"/>
  <c r="F120" i="26"/>
  <c r="F136" i="26"/>
  <c r="F305" i="26"/>
  <c r="F155" i="26"/>
  <c r="F401" i="26"/>
  <c r="F154" i="26"/>
  <c r="F35" i="26"/>
  <c r="F100" i="26"/>
  <c r="F319" i="26"/>
  <c r="F232" i="26"/>
  <c r="F122" i="26"/>
  <c r="F386" i="26"/>
  <c r="F230" i="26"/>
  <c r="F58" i="26"/>
  <c r="F42" i="26"/>
  <c r="F79" i="26"/>
  <c r="F238" i="26"/>
  <c r="F261" i="26"/>
  <c r="F123" i="26"/>
  <c r="F185" i="26"/>
  <c r="F46" i="26"/>
  <c r="F275" i="26"/>
  <c r="F270" i="26"/>
  <c r="F334" i="26"/>
  <c r="F104" i="26"/>
  <c r="F227" i="26"/>
  <c r="F184" i="26"/>
  <c r="F242" i="26"/>
  <c r="F57" i="26"/>
  <c r="F166" i="26"/>
  <c r="F67" i="26"/>
  <c r="F13" i="26"/>
  <c r="F81" i="26"/>
  <c r="F213" i="26"/>
  <c r="F289" i="26"/>
  <c r="F372" i="26"/>
  <c r="F194" i="26"/>
  <c r="F266" i="26"/>
  <c r="F285" i="26"/>
  <c r="F71" i="26"/>
  <c r="F108" i="26"/>
  <c r="F211" i="26"/>
  <c r="F318" i="26"/>
  <c r="F377" i="26"/>
  <c r="F293" i="26"/>
  <c r="F209" i="26"/>
  <c r="F102" i="26"/>
  <c r="F118" i="26"/>
  <c r="F157" i="26"/>
  <c r="F404" i="26"/>
  <c r="F308" i="26"/>
  <c r="F91" i="26"/>
  <c r="F398" i="26"/>
  <c r="F356" i="26"/>
  <c r="F408" i="26"/>
  <c r="F257" i="26"/>
  <c r="F116" i="26"/>
  <c r="F339" i="26"/>
  <c r="F388" i="26"/>
  <c r="F406" i="26"/>
  <c r="F411" i="26"/>
  <c r="F313" i="26"/>
  <c r="F258" i="26"/>
  <c r="F375" i="26"/>
  <c r="F415" i="26"/>
  <c r="F177" i="26"/>
  <c r="F207" i="26"/>
  <c r="F48" i="26"/>
  <c r="F298" i="26"/>
  <c r="F348" i="26"/>
  <c r="F354" i="26"/>
  <c r="F384" i="26"/>
  <c r="F76" i="26"/>
  <c r="F262" i="26"/>
  <c r="F235" i="26"/>
  <c r="F12" i="26"/>
  <c r="F390" i="26"/>
  <c r="F355" i="26"/>
  <c r="F218" i="26"/>
  <c r="F176" i="26"/>
  <c r="F311" i="26"/>
  <c r="F269" i="26"/>
  <c r="F86" i="26"/>
  <c r="F304" i="26"/>
  <c r="F80" i="26"/>
  <c r="F189" i="26"/>
  <c r="F325" i="26"/>
  <c r="F196" i="26"/>
  <c r="F236" i="26"/>
  <c r="F271" i="26"/>
  <c r="F41" i="26"/>
  <c r="F248" i="26"/>
  <c r="F127" i="26"/>
  <c r="F179" i="26"/>
  <c r="F89" i="26"/>
  <c r="F193" i="26"/>
  <c r="F109" i="26"/>
  <c r="F63" i="26"/>
  <c r="F243" i="26"/>
  <c r="F11" i="26"/>
  <c r="F92" i="26"/>
  <c r="F143" i="26"/>
  <c r="F132" i="26"/>
  <c r="F70" i="26"/>
  <c r="F115" i="26"/>
  <c r="F139" i="26"/>
  <c r="F124" i="26"/>
  <c r="F94" i="26"/>
  <c r="F5" i="26"/>
  <c r="F413" i="26"/>
  <c r="F272" i="26"/>
  <c r="F316" i="26"/>
  <c r="F183" i="26"/>
  <c r="F363" i="26"/>
  <c r="F171" i="26"/>
  <c r="F231" i="26"/>
  <c r="F264" i="26"/>
  <c r="F133" i="26"/>
  <c r="F358" i="26"/>
  <c r="F140" i="26"/>
  <c r="F278" i="26"/>
  <c r="F283" i="26"/>
  <c r="F332" i="26"/>
  <c r="F347" i="26"/>
  <c r="F14" i="26"/>
  <c r="F219" i="26"/>
  <c r="F365" i="26"/>
  <c r="F32" i="26"/>
  <c r="F3" i="26"/>
  <c r="L2" i="26" l="1"/>
  <c r="D244" i="26"/>
  <c r="E244" i="26" s="1"/>
  <c r="D142" i="26"/>
  <c r="D17" i="26"/>
  <c r="E17" i="26" s="1"/>
  <c r="D267" i="26"/>
  <c r="E267" i="26" s="1"/>
  <c r="D133" i="26"/>
  <c r="D329" i="26"/>
  <c r="E329" i="26" s="1"/>
  <c r="D269" i="26"/>
  <c r="E269" i="26" s="1"/>
  <c r="D15" i="26"/>
  <c r="E15" i="26" s="1"/>
  <c r="D217" i="26"/>
  <c r="E217" i="26" s="1"/>
  <c r="D27" i="26"/>
  <c r="E27" i="26" s="1"/>
  <c r="D16" i="26"/>
  <c r="E16" i="26" s="1"/>
  <c r="D13" i="26"/>
  <c r="E13" i="26" s="1"/>
  <c r="D198" i="26"/>
  <c r="D105" i="26"/>
  <c r="E105" i="26" s="1"/>
  <c r="D164" i="26"/>
  <c r="E164" i="26" s="1"/>
  <c r="D392" i="26"/>
  <c r="D74" i="26"/>
  <c r="D157" i="26"/>
  <c r="E157" i="26" s="1"/>
  <c r="D122" i="26"/>
  <c r="E122" i="26" s="1"/>
  <c r="D165" i="26"/>
  <c r="E165" i="26" s="1"/>
  <c r="D397" i="26"/>
  <c r="D293" i="26"/>
  <c r="E293" i="26" s="1"/>
  <c r="D308" i="26"/>
  <c r="E308" i="26" s="1"/>
  <c r="D302" i="26"/>
  <c r="E302" i="26" s="1"/>
  <c r="D315" i="26"/>
  <c r="E315" i="26" s="1"/>
  <c r="D377" i="26"/>
  <c r="E377" i="26" s="1"/>
  <c r="D297" i="26"/>
  <c r="E297" i="26" s="1"/>
  <c r="D385" i="26"/>
  <c r="E385" i="26" s="1"/>
  <c r="D331" i="26"/>
  <c r="D200" i="26"/>
  <c r="E200" i="26" s="1"/>
  <c r="D300" i="26"/>
  <c r="E300" i="26" s="1"/>
  <c r="D383" i="26"/>
  <c r="E383" i="26" s="1"/>
  <c r="D347" i="26"/>
  <c r="D348" i="26"/>
  <c r="E348" i="26" s="1"/>
  <c r="D402" i="26"/>
  <c r="E402" i="26" s="1"/>
  <c r="D411" i="26"/>
  <c r="E411" i="26" s="1"/>
  <c r="D350" i="26"/>
  <c r="E350" i="26" s="1"/>
  <c r="D404" i="26"/>
  <c r="E404" i="26" s="1"/>
  <c r="D405" i="26"/>
  <c r="E405" i="26" s="1"/>
  <c r="D204" i="26"/>
  <c r="E204" i="26" s="1"/>
  <c r="D364" i="26"/>
  <c r="D375" i="26"/>
  <c r="E375" i="26" s="1"/>
  <c r="D413" i="26"/>
  <c r="E413" i="26" s="1"/>
  <c r="D406" i="26"/>
  <c r="E406" i="26" s="1"/>
  <c r="D345" i="26"/>
  <c r="D326" i="26"/>
  <c r="E326" i="26" s="1"/>
  <c r="D381" i="26"/>
  <c r="E381" i="26" s="1"/>
  <c r="D351" i="26"/>
  <c r="E351" i="26" s="1"/>
  <c r="D363" i="26"/>
  <c r="D366" i="26"/>
  <c r="E366" i="26" s="1"/>
  <c r="D325" i="26"/>
  <c r="E325" i="26" s="1"/>
  <c r="D274" i="26"/>
  <c r="E274" i="26" s="1"/>
  <c r="D344" i="26"/>
  <c r="D355" i="26"/>
  <c r="E355" i="26" s="1"/>
  <c r="D378" i="26"/>
  <c r="E378" i="26" s="1"/>
  <c r="D223" i="26"/>
  <c r="E223" i="26" s="1"/>
  <c r="D206" i="26"/>
  <c r="E206" i="26" s="1"/>
  <c r="D196" i="26"/>
  <c r="E196" i="26" s="1"/>
  <c r="D282" i="26"/>
  <c r="E282" i="26" s="1"/>
  <c r="D162" i="26"/>
  <c r="E162" i="26" s="1"/>
  <c r="D259" i="26"/>
  <c r="D384" i="26"/>
  <c r="E384" i="26" s="1"/>
  <c r="D59" i="26"/>
  <c r="E59" i="26" s="1"/>
  <c r="D156" i="26"/>
  <c r="E156" i="26" s="1"/>
  <c r="D332" i="26"/>
  <c r="D158" i="26"/>
  <c r="E158" i="26" s="1"/>
  <c r="D403" i="26"/>
  <c r="E403" i="26" s="1"/>
  <c r="D408" i="26"/>
  <c r="E408" i="26" s="1"/>
  <c r="D396" i="26"/>
  <c r="D395" i="26"/>
  <c r="E395" i="26" s="1"/>
  <c r="D394" i="26"/>
  <c r="E394" i="26" s="1"/>
  <c r="D389" i="26"/>
  <c r="E389" i="26" s="1"/>
  <c r="D401" i="26"/>
  <c r="D359" i="26"/>
  <c r="D393" i="26"/>
  <c r="E393" i="26" s="1"/>
  <c r="D398" i="26"/>
  <c r="E398" i="26" s="1"/>
  <c r="D226" i="26"/>
  <c r="D316" i="26"/>
  <c r="E316" i="26" s="1"/>
  <c r="D415" i="26"/>
  <c r="E415" i="26" s="1"/>
  <c r="D349" i="26"/>
  <c r="E349" i="26" s="1"/>
  <c r="D342" i="26"/>
  <c r="E342" i="26" s="1"/>
  <c r="D261" i="26"/>
  <c r="E261" i="26" s="1"/>
  <c r="D268" i="26"/>
  <c r="E268" i="26" s="1"/>
  <c r="D251" i="26"/>
  <c r="E251" i="26" s="1"/>
  <c r="D320" i="26"/>
  <c r="D179" i="26"/>
  <c r="E179" i="26" s="1"/>
  <c r="D270" i="26"/>
  <c r="E270" i="26" s="1"/>
  <c r="D132" i="26"/>
  <c r="D277" i="26"/>
  <c r="E277" i="26" s="1"/>
  <c r="D109" i="26"/>
  <c r="E109" i="26" s="1"/>
  <c r="D407" i="26"/>
  <c r="E407" i="26" s="1"/>
  <c r="D128" i="26"/>
  <c r="E128" i="26" s="1"/>
  <c r="D291" i="26"/>
  <c r="D178" i="26"/>
  <c r="E178" i="26" s="1"/>
  <c r="D380" i="26"/>
  <c r="E380" i="26" s="1"/>
  <c r="D49" i="26"/>
  <c r="E49" i="26" s="1"/>
  <c r="D87" i="26"/>
  <c r="E87" i="26" s="1"/>
  <c r="D343" i="26"/>
  <c r="E343" i="26" s="1"/>
  <c r="D173" i="26"/>
  <c r="E173" i="26" s="1"/>
  <c r="D3" i="26"/>
  <c r="E3" i="26" s="1"/>
  <c r="D288" i="26"/>
  <c r="D58" i="26"/>
  <c r="E58" i="26" s="1"/>
  <c r="D327" i="26"/>
  <c r="E327" i="26" s="1"/>
  <c r="D88" i="26"/>
  <c r="E88" i="26" s="1"/>
  <c r="D241" i="26"/>
  <c r="E241" i="26" s="1"/>
  <c r="D20" i="26"/>
  <c r="E20" i="26" s="1"/>
  <c r="D409" i="26"/>
  <c r="E409" i="26" s="1"/>
  <c r="D372" i="26"/>
  <c r="E372" i="26" s="1"/>
  <c r="D414" i="26"/>
  <c r="D236" i="26"/>
  <c r="E236" i="26" s="1"/>
  <c r="D271" i="26"/>
  <c r="E271" i="26" s="1"/>
  <c r="D250" i="26"/>
  <c r="E250" i="26" s="1"/>
  <c r="D294" i="26"/>
  <c r="D57" i="26"/>
  <c r="E57" i="26" s="1"/>
  <c r="D50" i="26"/>
  <c r="E50" i="26" s="1"/>
  <c r="D230" i="26"/>
  <c r="E230" i="26" s="1"/>
  <c r="D23" i="26"/>
  <c r="E23" i="26" s="1"/>
  <c r="D160" i="26"/>
  <c r="E160" i="26" s="1"/>
  <c r="D70" i="26"/>
  <c r="E70" i="26" s="1"/>
  <c r="D242" i="26"/>
  <c r="E242" i="26" s="1"/>
  <c r="D399" i="26"/>
  <c r="E399" i="26" s="1"/>
  <c r="D387" i="26"/>
  <c r="E387" i="26" s="1"/>
  <c r="D412" i="26"/>
  <c r="E412" i="26" s="1"/>
  <c r="D361" i="26"/>
  <c r="E361" i="26" s="1"/>
  <c r="D360" i="26"/>
  <c r="E360" i="26" s="1"/>
  <c r="D390" i="26"/>
  <c r="D317" i="26"/>
  <c r="E317" i="26" s="1"/>
  <c r="D353" i="26"/>
  <c r="E353" i="26" s="1"/>
  <c r="D365" i="26"/>
  <c r="E365" i="26" s="1"/>
  <c r="D283" i="26"/>
  <c r="E283" i="26" s="1"/>
  <c r="D202" i="26"/>
  <c r="E202" i="26" s="1"/>
  <c r="D263" i="26"/>
  <c r="E263" i="26" s="1"/>
  <c r="D295" i="26"/>
  <c r="E295" i="26" s="1"/>
  <c r="D368" i="26"/>
  <c r="E368" i="26" s="1"/>
  <c r="D321" i="26"/>
  <c r="E321" i="26" s="1"/>
  <c r="D275" i="26"/>
  <c r="E275" i="26" s="1"/>
  <c r="D239" i="26"/>
  <c r="E239" i="26" s="1"/>
  <c r="D238" i="26"/>
  <c r="E238" i="26" s="1"/>
  <c r="D374" i="26"/>
  <c r="E374" i="26" s="1"/>
  <c r="D219" i="26"/>
  <c r="E219" i="26" s="1"/>
  <c r="D212" i="26"/>
  <c r="D124" i="26"/>
  <c r="E124" i="26" s="1"/>
  <c r="D138" i="26"/>
  <c r="E138" i="26" s="1"/>
  <c r="D346" i="26"/>
  <c r="E346" i="26" s="1"/>
  <c r="D163" i="26"/>
  <c r="E163" i="26" s="1"/>
  <c r="D314" i="26"/>
  <c r="E314" i="26" s="1"/>
  <c r="D192" i="26"/>
  <c r="E192" i="26" s="1"/>
  <c r="D85" i="26"/>
  <c r="E85" i="26" s="1"/>
  <c r="D311" i="26"/>
  <c r="E311" i="26" s="1"/>
  <c r="D205" i="26"/>
  <c r="E205" i="26" s="1"/>
  <c r="D117" i="26"/>
  <c r="E117" i="26" s="1"/>
  <c r="D26" i="26"/>
  <c r="E26" i="26" s="1"/>
  <c r="D60" i="26"/>
  <c r="E60" i="26" s="1"/>
  <c r="D379" i="26"/>
  <c r="E379" i="26" s="1"/>
  <c r="D30" i="26"/>
  <c r="E30" i="26" s="1"/>
  <c r="D130" i="26"/>
  <c r="E130" i="26" s="1"/>
  <c r="D318" i="26"/>
  <c r="E318" i="26" s="1"/>
  <c r="D37" i="26"/>
  <c r="E37" i="26" s="1"/>
  <c r="D253" i="26"/>
  <c r="E253" i="26" s="1"/>
  <c r="D47" i="26"/>
  <c r="E47" i="26" s="1"/>
  <c r="D280" i="26"/>
  <c r="E280" i="26" s="1"/>
  <c r="D9" i="26"/>
  <c r="E9" i="26" s="1"/>
  <c r="D11" i="26"/>
  <c r="E11" i="26" s="1"/>
  <c r="D34" i="26"/>
  <c r="E34" i="26" s="1"/>
  <c r="D266" i="26"/>
  <c r="E266" i="26" s="1"/>
  <c r="D69" i="26"/>
  <c r="E69" i="26" s="1"/>
  <c r="D185" i="26"/>
  <c r="E185" i="26" s="1"/>
  <c r="D289" i="26"/>
  <c r="E289" i="26" s="1"/>
  <c r="D7" i="26"/>
  <c r="E7" i="26" s="1"/>
  <c r="D2" i="26"/>
  <c r="E2" i="26" s="1"/>
  <c r="D63" i="26"/>
  <c r="E63" i="26" s="1"/>
  <c r="D207" i="26"/>
  <c r="E207" i="26" s="1"/>
  <c r="D29" i="26"/>
  <c r="E29" i="26" s="1"/>
  <c r="D304" i="26"/>
  <c r="E304" i="26" s="1"/>
  <c r="D240" i="26"/>
  <c r="E240" i="26" s="1"/>
  <c r="D287" i="26"/>
  <c r="E287" i="26" s="1"/>
  <c r="D67" i="26"/>
  <c r="E67" i="26" s="1"/>
  <c r="D18" i="26"/>
  <c r="E18" i="26" s="1"/>
  <c r="D89" i="26"/>
  <c r="E89" i="26" s="1"/>
  <c r="D338" i="26"/>
  <c r="E338" i="26" s="1"/>
  <c r="D112" i="26"/>
  <c r="E112" i="26" s="1"/>
  <c r="D247" i="26"/>
  <c r="E247" i="26" s="1"/>
  <c r="D131" i="26"/>
  <c r="E131" i="26" s="1"/>
  <c r="D42" i="26"/>
  <c r="E42" i="26" s="1"/>
  <c r="D41" i="26"/>
  <c r="E41" i="26" s="1"/>
  <c r="D10" i="26"/>
  <c r="E10" i="26" s="1"/>
  <c r="D55" i="26"/>
  <c r="E55" i="26" s="1"/>
  <c r="D123" i="26"/>
  <c r="E123" i="26" s="1"/>
  <c r="D195" i="26"/>
  <c r="E195" i="26" s="1"/>
  <c r="D339" i="26"/>
  <c r="E339" i="26" s="1"/>
  <c r="D33" i="26"/>
  <c r="E33" i="26" s="1"/>
  <c r="D80" i="26"/>
  <c r="E80" i="26" s="1"/>
  <c r="D90" i="26"/>
  <c r="E90" i="26" s="1"/>
  <c r="D218" i="26"/>
  <c r="E218" i="26" s="1"/>
  <c r="D147" i="26"/>
  <c r="E147" i="26" s="1"/>
  <c r="D65" i="26"/>
  <c r="E65" i="26" s="1"/>
  <c r="D78" i="26"/>
  <c r="E78" i="26" s="1"/>
  <c r="D231" i="26"/>
  <c r="E231" i="26" s="1"/>
  <c r="D149" i="26"/>
  <c r="E149" i="26" s="1"/>
  <c r="D75" i="26"/>
  <c r="E75" i="26" s="1"/>
  <c r="D323" i="26"/>
  <c r="E323" i="26" s="1"/>
  <c r="D61" i="26"/>
  <c r="E61" i="26" s="1"/>
  <c r="D154" i="26"/>
  <c r="E154" i="26" s="1"/>
  <c r="D255" i="26"/>
  <c r="E255" i="26" s="1"/>
  <c r="D298" i="26"/>
  <c r="E298" i="26" s="1"/>
  <c r="D137" i="26"/>
  <c r="E137" i="26" s="1"/>
  <c r="D104" i="26"/>
  <c r="E104" i="26" s="1"/>
  <c r="D100" i="26"/>
  <c r="E100" i="26" s="1"/>
  <c r="D310" i="26"/>
  <c r="E310" i="26" s="1"/>
  <c r="D357" i="26"/>
  <c r="E357" i="26" s="1"/>
  <c r="D106" i="26"/>
  <c r="E106" i="26" s="1"/>
  <c r="D220" i="26"/>
  <c r="E220" i="26" s="1"/>
  <c r="D199" i="26"/>
  <c r="E199" i="26" s="1"/>
  <c r="D391" i="26"/>
  <c r="E391" i="26" s="1"/>
  <c r="D312" i="26"/>
  <c r="E312" i="26" s="1"/>
  <c r="D258" i="26"/>
  <c r="E258" i="26" s="1"/>
  <c r="D234" i="26"/>
  <c r="E234" i="26" s="1"/>
  <c r="D237" i="26"/>
  <c r="E237" i="26" s="1"/>
  <c r="D252" i="26"/>
  <c r="E252" i="26" s="1"/>
  <c r="D272" i="26"/>
  <c r="E272" i="26" s="1"/>
  <c r="D82" i="26"/>
  <c r="E82" i="26" s="1"/>
  <c r="D152" i="26"/>
  <c r="E152" i="26" s="1"/>
  <c r="D235" i="26"/>
  <c r="E235" i="26" s="1"/>
  <c r="D126" i="26"/>
  <c r="E126" i="26" s="1"/>
  <c r="D224" i="26"/>
  <c r="E224" i="26" s="1"/>
  <c r="D273" i="26"/>
  <c r="E273" i="26" s="1"/>
  <c r="D249" i="26"/>
  <c r="E249" i="26" s="1"/>
  <c r="D38" i="26"/>
  <c r="E38" i="26" s="1"/>
  <c r="D62" i="26"/>
  <c r="E62" i="26" s="1"/>
  <c r="D373" i="26"/>
  <c r="E373" i="26" s="1"/>
  <c r="D129" i="26"/>
  <c r="E129" i="26" s="1"/>
  <c r="D86" i="26"/>
  <c r="E86" i="26" s="1"/>
  <c r="D301" i="26"/>
  <c r="E301" i="26" s="1"/>
  <c r="D171" i="26"/>
  <c r="E171" i="26" s="1"/>
  <c r="D91" i="26"/>
  <c r="E91" i="26" s="1"/>
  <c r="D410" i="26"/>
  <c r="E410" i="26" s="1"/>
  <c r="D159" i="26"/>
  <c r="E159" i="26" s="1"/>
  <c r="D140" i="26"/>
  <c r="E140" i="26" s="1"/>
  <c r="D367" i="26"/>
  <c r="E367" i="26" s="1"/>
  <c r="D358" i="26"/>
  <c r="E358" i="26" s="1"/>
  <c r="D256" i="26"/>
  <c r="E256" i="26" s="1"/>
  <c r="D215" i="26"/>
  <c r="E215" i="26" s="1"/>
  <c r="D170" i="26"/>
  <c r="E170" i="26" s="1"/>
  <c r="D211" i="26"/>
  <c r="E211" i="26" s="1"/>
  <c r="D264" i="26"/>
  <c r="E264" i="26" s="1"/>
  <c r="D229" i="26"/>
  <c r="E229" i="26" s="1"/>
  <c r="D362" i="26"/>
  <c r="E362" i="26" s="1"/>
  <c r="D336" i="26"/>
  <c r="E336" i="26" s="1"/>
  <c r="D278" i="26"/>
  <c r="E278" i="26" s="1"/>
  <c r="D232" i="26"/>
  <c r="E232" i="26" s="1"/>
  <c r="D376" i="26"/>
  <c r="E376" i="26" s="1"/>
  <c r="D193" i="26"/>
  <c r="E193" i="26" s="1"/>
  <c r="D400" i="26"/>
  <c r="E400" i="26" s="1"/>
  <c r="D284" i="26"/>
  <c r="E284" i="26" s="1"/>
  <c r="D187" i="26"/>
  <c r="E187" i="26" s="1"/>
  <c r="D176" i="26"/>
  <c r="E176" i="26" s="1"/>
  <c r="D139" i="26"/>
  <c r="E139" i="26" s="1"/>
  <c r="D119" i="26"/>
  <c r="E119" i="26" s="1"/>
  <c r="D102" i="26"/>
  <c r="E102" i="26" s="1"/>
  <c r="D40" i="26"/>
  <c r="E40" i="26" s="1"/>
  <c r="D94" i="26"/>
  <c r="E94" i="26" s="1"/>
  <c r="D155" i="26"/>
  <c r="E155" i="26" s="1"/>
  <c r="D262" i="26"/>
  <c r="E262" i="26" s="1"/>
  <c r="D225" i="26"/>
  <c r="E225" i="26" s="1"/>
  <c r="D388" i="26"/>
  <c r="E388" i="26" s="1"/>
  <c r="D169" i="26"/>
  <c r="E169" i="26" s="1"/>
  <c r="D183" i="26"/>
  <c r="E183" i="26" s="1"/>
  <c r="D221" i="26"/>
  <c r="E221" i="26" s="1"/>
  <c r="D44" i="26"/>
  <c r="E44" i="26" s="1"/>
  <c r="D222" i="26"/>
  <c r="E222" i="26" s="1"/>
  <c r="D107" i="26"/>
  <c r="E107" i="26" s="1"/>
  <c r="D76" i="26"/>
  <c r="E76" i="26" s="1"/>
  <c r="D292" i="26"/>
  <c r="E292" i="26" s="1"/>
  <c r="D246" i="26"/>
  <c r="E246" i="26" s="1"/>
  <c r="D382" i="26"/>
  <c r="E382" i="26" s="1"/>
  <c r="D182" i="26"/>
  <c r="E182" i="26" s="1"/>
  <c r="D334" i="26"/>
  <c r="E334" i="26" s="1"/>
  <c r="D296" i="26"/>
  <c r="E296" i="26" s="1"/>
  <c r="D77" i="26"/>
  <c r="E77" i="26" s="1"/>
  <c r="D72" i="26"/>
  <c r="E72" i="26" s="1"/>
  <c r="D19" i="26"/>
  <c r="E19" i="26" s="1"/>
  <c r="D313" i="26"/>
  <c r="E313" i="26" s="1"/>
  <c r="D161" i="26"/>
  <c r="E161" i="26" s="1"/>
  <c r="D209" i="26"/>
  <c r="E209" i="26" s="1"/>
  <c r="D121" i="26"/>
  <c r="E121" i="26" s="1"/>
  <c r="D99" i="26"/>
  <c r="E99" i="26" s="1"/>
  <c r="D354" i="26"/>
  <c r="E354" i="26" s="1"/>
  <c r="D127" i="26"/>
  <c r="E127" i="26" s="1"/>
  <c r="D177" i="26"/>
  <c r="E177" i="26" s="1"/>
  <c r="D116" i="26"/>
  <c r="E116" i="26" s="1"/>
  <c r="D136" i="26"/>
  <c r="E136" i="26" s="1"/>
  <c r="D43" i="26"/>
  <c r="E43" i="26" s="1"/>
  <c r="D35" i="26"/>
  <c r="E35" i="26" s="1"/>
  <c r="D210" i="26"/>
  <c r="E210" i="26" s="1"/>
  <c r="D31" i="26"/>
  <c r="E31" i="26" s="1"/>
  <c r="D341" i="26"/>
  <c r="E341" i="26" s="1"/>
  <c r="D145" i="26"/>
  <c r="E145" i="26" s="1"/>
  <c r="D12" i="26"/>
  <c r="E12" i="26" s="1"/>
  <c r="D208" i="26"/>
  <c r="E208" i="26" s="1"/>
  <c r="D148" i="26"/>
  <c r="E148" i="26" s="1"/>
  <c r="D189" i="26"/>
  <c r="E189" i="26" s="1"/>
  <c r="D71" i="26"/>
  <c r="E71" i="26" s="1"/>
  <c r="D95" i="26"/>
  <c r="E95" i="26" s="1"/>
  <c r="D73" i="26"/>
  <c r="E73" i="26" s="1"/>
  <c r="D340" i="26"/>
  <c r="E340" i="26" s="1"/>
  <c r="D135" i="26"/>
  <c r="E135" i="26" s="1"/>
  <c r="D281" i="26"/>
  <c r="E281" i="26" s="1"/>
  <c r="D134" i="26"/>
  <c r="E134" i="26" s="1"/>
  <c r="D150" i="26"/>
  <c r="E150" i="26" s="1"/>
  <c r="D83" i="26"/>
  <c r="E83" i="26" s="1"/>
  <c r="D103" i="26"/>
  <c r="E103" i="26" s="1"/>
  <c r="D28" i="26"/>
  <c r="E28" i="26" s="1"/>
  <c r="D32" i="26"/>
  <c r="E32" i="26" s="1"/>
  <c r="D328" i="26"/>
  <c r="E328" i="26" s="1"/>
  <c r="D286" i="26"/>
  <c r="E286" i="26" s="1"/>
  <c r="D172" i="26"/>
  <c r="E172" i="26" s="1"/>
  <c r="D191" i="26"/>
  <c r="E191" i="26" s="1"/>
  <c r="D97" i="26"/>
  <c r="E97" i="26" s="1"/>
  <c r="D167" i="26"/>
  <c r="E167" i="26" s="1"/>
  <c r="D6" i="26"/>
  <c r="E6" i="26" s="1"/>
  <c r="D118" i="26"/>
  <c r="E118" i="26" s="1"/>
  <c r="D39" i="26"/>
  <c r="E39" i="26" s="1"/>
  <c r="D45" i="26"/>
  <c r="E45" i="26" s="1"/>
  <c r="D188" i="26"/>
  <c r="E188" i="26" s="1"/>
  <c r="D144" i="26"/>
  <c r="E144" i="26" s="1"/>
  <c r="D166" i="26"/>
  <c r="E166" i="26" s="1"/>
  <c r="D186" i="26"/>
  <c r="E186" i="26" s="1"/>
  <c r="D5" i="26"/>
  <c r="E5" i="26" s="1"/>
  <c r="D24" i="26"/>
  <c r="E24" i="26" s="1"/>
  <c r="D153" i="26"/>
  <c r="E153" i="26" s="1"/>
  <c r="D305" i="26"/>
  <c r="E305" i="26" s="1"/>
  <c r="D319" i="26"/>
  <c r="E319" i="26" s="1"/>
  <c r="D307" i="26"/>
  <c r="E307" i="26" s="1"/>
  <c r="D214" i="26"/>
  <c r="E214" i="26" s="1"/>
  <c r="D257" i="26"/>
  <c r="E257" i="26" s="1"/>
  <c r="D337" i="26"/>
  <c r="E337" i="26" s="1"/>
  <c r="D243" i="26"/>
  <c r="E243" i="26" s="1"/>
  <c r="D303" i="26"/>
  <c r="E303" i="26" s="1"/>
  <c r="D114" i="26"/>
  <c r="E114" i="26" s="1"/>
  <c r="D194" i="26"/>
  <c r="E194" i="26" s="1"/>
  <c r="D190" i="26"/>
  <c r="E190" i="26" s="1"/>
  <c r="D120" i="26"/>
  <c r="E120" i="26" s="1"/>
  <c r="D228" i="26"/>
  <c r="E228" i="26" s="1"/>
  <c r="D227" i="26"/>
  <c r="E227" i="26" s="1"/>
  <c r="D324" i="26"/>
  <c r="E324" i="26" s="1"/>
  <c r="D276" i="26"/>
  <c r="E276" i="26" s="1"/>
  <c r="D146" i="26"/>
  <c r="E146" i="26" s="1"/>
  <c r="D299" i="26"/>
  <c r="E299" i="26" s="1"/>
  <c r="D96" i="26"/>
  <c r="E96" i="26" s="1"/>
  <c r="D181" i="26"/>
  <c r="E181" i="26" s="1"/>
  <c r="D371" i="26"/>
  <c r="E371" i="26" s="1"/>
  <c r="D125" i="26"/>
  <c r="E125" i="26" s="1"/>
  <c r="D201" i="26"/>
  <c r="E201" i="26" s="1"/>
  <c r="D386" i="26"/>
  <c r="E386" i="26" s="1"/>
  <c r="D180" i="26"/>
  <c r="E180" i="26" s="1"/>
  <c r="D108" i="26"/>
  <c r="E108" i="26" s="1"/>
  <c r="D64" i="26"/>
  <c r="E64" i="26" s="1"/>
  <c r="D335" i="26"/>
  <c r="E335" i="26" s="1"/>
  <c r="D36" i="26"/>
  <c r="E36" i="26" s="1"/>
  <c r="D248" i="26"/>
  <c r="E248" i="26" s="1"/>
  <c r="D101" i="26"/>
  <c r="E101" i="26" s="1"/>
  <c r="D260" i="26"/>
  <c r="E260" i="26" s="1"/>
  <c r="D213" i="26"/>
  <c r="E213" i="26" s="1"/>
  <c r="D81" i="26"/>
  <c r="E81" i="26" s="1"/>
  <c r="D333" i="26"/>
  <c r="E333" i="26" s="1"/>
  <c r="D52" i="26"/>
  <c r="E52" i="26" s="1"/>
  <c r="D151" i="26"/>
  <c r="E151" i="26" s="1"/>
  <c r="D356" i="26"/>
  <c r="E356" i="26" s="1"/>
  <c r="D168" i="26"/>
  <c r="E168" i="26" s="1"/>
  <c r="D56" i="26"/>
  <c r="E56" i="26" s="1"/>
  <c r="D370" i="26"/>
  <c r="E370" i="26" s="1"/>
  <c r="D53" i="26"/>
  <c r="E53" i="26" s="1"/>
  <c r="D233" i="26"/>
  <c r="E233" i="26" s="1"/>
  <c r="D143" i="26"/>
  <c r="E143" i="26" s="1"/>
  <c r="D93" i="26"/>
  <c r="E93" i="26" s="1"/>
  <c r="D66" i="26"/>
  <c r="E66" i="26" s="1"/>
  <c r="D174" i="26"/>
  <c r="E174" i="26" s="1"/>
  <c r="D113" i="26"/>
  <c r="E113" i="26" s="1"/>
  <c r="D330" i="26"/>
  <c r="E330" i="26" s="1"/>
  <c r="D322" i="26"/>
  <c r="E322" i="26" s="1"/>
  <c r="D309" i="26"/>
  <c r="E309" i="26" s="1"/>
  <c r="D51" i="26"/>
  <c r="E51" i="26" s="1"/>
  <c r="D115" i="26"/>
  <c r="E115" i="26" s="1"/>
  <c r="D369" i="26"/>
  <c r="E369" i="26" s="1"/>
  <c r="D79" i="26"/>
  <c r="E79" i="26" s="1"/>
  <c r="D21" i="26"/>
  <c r="E21" i="26" s="1"/>
  <c r="D92" i="26"/>
  <c r="E92" i="26" s="1"/>
  <c r="D48" i="26"/>
  <c r="E48" i="26" s="1"/>
  <c r="D54" i="26"/>
  <c r="E54" i="26" s="1"/>
  <c r="D290" i="26"/>
  <c r="E290" i="26" s="1"/>
  <c r="D175" i="26"/>
  <c r="E175" i="26" s="1"/>
  <c r="D197" i="26"/>
  <c r="E197" i="26" s="1"/>
  <c r="D352" i="26"/>
  <c r="E352" i="26" s="1"/>
  <c r="D245" i="26"/>
  <c r="E245" i="26" s="1"/>
  <c r="D46" i="26"/>
  <c r="E46" i="26" s="1"/>
  <c r="D111" i="26"/>
  <c r="E111" i="26" s="1"/>
  <c r="D8" i="26"/>
  <c r="E8" i="26" s="1"/>
  <c r="D4" i="26"/>
  <c r="E4" i="26" s="1"/>
  <c r="D254" i="26"/>
  <c r="E254" i="26" s="1"/>
  <c r="D265" i="26"/>
  <c r="E265" i="26" s="1"/>
  <c r="D98" i="26"/>
  <c r="E98" i="26" s="1"/>
  <c r="D184" i="26"/>
  <c r="E184" i="26" s="1"/>
  <c r="D279" i="26"/>
  <c r="E279" i="26" s="1"/>
  <c r="D84" i="26"/>
  <c r="E84" i="26" s="1"/>
  <c r="D25" i="26"/>
  <c r="E25" i="26" s="1"/>
  <c r="D306" i="26"/>
  <c r="E306" i="26" s="1"/>
  <c r="D285" i="26"/>
  <c r="E285" i="26" s="1"/>
  <c r="D22" i="26"/>
  <c r="E22" i="26" s="1"/>
  <c r="D141" i="26"/>
  <c r="E141" i="26" s="1"/>
  <c r="D216" i="26"/>
  <c r="E216" i="26" s="1"/>
  <c r="D110" i="26"/>
  <c r="E110" i="26" s="1"/>
  <c r="D68" i="26"/>
  <c r="E68" i="26" s="1"/>
  <c r="D14" i="26"/>
  <c r="E14" i="26" s="1"/>
  <c r="D203" i="26"/>
  <c r="E203" i="26" s="1"/>
  <c r="E396" i="26"/>
  <c r="E74" i="26"/>
  <c r="E332" i="26"/>
  <c r="E132" i="26"/>
  <c r="E414" i="26"/>
  <c r="E226" i="26"/>
  <c r="E397" i="26"/>
  <c r="E392" i="26"/>
  <c r="E294" i="26"/>
  <c r="E133" i="26"/>
  <c r="E363" i="26"/>
  <c r="E142" i="26"/>
  <c r="E198" i="26"/>
  <c r="E344" i="26"/>
  <c r="E288" i="26"/>
  <c r="E390" i="26"/>
  <c r="E401" i="26"/>
  <c r="E345" i="26"/>
  <c r="E331" i="26"/>
  <c r="E259" i="26"/>
  <c r="E364" i="26"/>
  <c r="E320" i="26"/>
  <c r="E359" i="26"/>
  <c r="E212" i="26"/>
  <c r="E291" i="26"/>
  <c r="E347" i="26"/>
  <c r="F3" i="2"/>
  <c r="F2" i="2"/>
  <c r="F5" i="2"/>
  <c r="G5" i="2" s="1"/>
  <c r="F18" i="2"/>
  <c r="G18" i="2" s="1"/>
  <c r="F11" i="2"/>
  <c r="F9" i="2"/>
  <c r="G9" i="2" s="1"/>
  <c r="H9" i="2" s="1"/>
  <c r="F279" i="2"/>
  <c r="G279" i="2" s="1"/>
  <c r="F28" i="2"/>
  <c r="G28" i="2" s="1"/>
  <c r="F6" i="2"/>
  <c r="F19" i="2"/>
  <c r="G19" i="2" s="1"/>
  <c r="H19" i="2" s="1"/>
  <c r="F10" i="2"/>
  <c r="G10" i="2" s="1"/>
  <c r="F46" i="2"/>
  <c r="G46" i="2" s="1"/>
  <c r="F77" i="2"/>
  <c r="F24" i="2"/>
  <c r="G24" i="2" s="1"/>
  <c r="H24" i="2" s="1"/>
  <c r="F295" i="2"/>
  <c r="G295" i="2" s="1"/>
  <c r="F22" i="2"/>
  <c r="G22" i="2" s="1"/>
  <c r="F54" i="2"/>
  <c r="F146" i="2"/>
  <c r="F403" i="2"/>
  <c r="G403" i="2" s="1"/>
  <c r="F88" i="2"/>
  <c r="G88" i="2" s="1"/>
  <c r="F213" i="2"/>
  <c r="F265" i="2"/>
  <c r="G265" i="2" s="1"/>
  <c r="H265" i="2" s="1"/>
  <c r="F75" i="2"/>
  <c r="G75" i="2" s="1"/>
  <c r="F123" i="2"/>
  <c r="G123" i="2" s="1"/>
  <c r="F32" i="2"/>
  <c r="F43" i="2"/>
  <c r="F86" i="2"/>
  <c r="G86" i="2" s="1"/>
  <c r="F97" i="2"/>
  <c r="G97" i="2" s="1"/>
  <c r="F202" i="2"/>
  <c r="F145" i="2"/>
  <c r="G145" i="2" s="1"/>
  <c r="H145" i="2" s="1"/>
  <c r="F17" i="2"/>
  <c r="G17" i="2" s="1"/>
  <c r="F25" i="2"/>
  <c r="G25" i="2" s="1"/>
  <c r="F193" i="2"/>
  <c r="F247" i="2"/>
  <c r="F144" i="2"/>
  <c r="G144" i="2" s="1"/>
  <c r="F41" i="2"/>
  <c r="G41" i="2" s="1"/>
  <c r="F257" i="2"/>
  <c r="F92" i="2"/>
  <c r="G92" i="2" s="1"/>
  <c r="H92" i="2" s="1"/>
  <c r="F20" i="2"/>
  <c r="G20" i="2" s="1"/>
  <c r="F87" i="2"/>
  <c r="G87" i="2" s="1"/>
  <c r="F14" i="2"/>
  <c r="F328" i="2"/>
  <c r="G328" i="2" s="1"/>
  <c r="H328" i="2" s="1"/>
  <c r="F267" i="2"/>
  <c r="G267" i="2" s="1"/>
  <c r="F228" i="2"/>
  <c r="G228" i="2" s="1"/>
  <c r="F284" i="2"/>
  <c r="F48" i="2"/>
  <c r="G48" i="2" s="1"/>
  <c r="H48" i="2" s="1"/>
  <c r="F66" i="2"/>
  <c r="G66" i="2" s="1"/>
  <c r="F39" i="2"/>
  <c r="G39" i="2" s="1"/>
  <c r="F33" i="2"/>
  <c r="F104" i="2"/>
  <c r="F243" i="2"/>
  <c r="G243" i="2" s="1"/>
  <c r="F29" i="2"/>
  <c r="G29" i="2" s="1"/>
  <c r="F367" i="2"/>
  <c r="F72" i="2"/>
  <c r="G72" i="2" s="1"/>
  <c r="H72" i="2" s="1"/>
  <c r="F58" i="2"/>
  <c r="G58" i="2" s="1"/>
  <c r="F53" i="2"/>
  <c r="G53" i="2" s="1"/>
  <c r="F294" i="2"/>
  <c r="F215" i="2"/>
  <c r="G215" i="2" s="1"/>
  <c r="H215" i="2" s="1"/>
  <c r="F329" i="2"/>
  <c r="G329" i="2" s="1"/>
  <c r="F366" i="2"/>
  <c r="G366" i="2" s="1"/>
  <c r="F273" i="2"/>
  <c r="F316" i="2"/>
  <c r="G316" i="2" s="1"/>
  <c r="H316" i="2" s="1"/>
  <c r="F119" i="2"/>
  <c r="G119" i="2" s="1"/>
  <c r="F354" i="2"/>
  <c r="G354" i="2" s="1"/>
  <c r="F94" i="2"/>
  <c r="F141" i="2"/>
  <c r="G141" i="2" s="1"/>
  <c r="H141" i="2" s="1"/>
  <c r="F62" i="2"/>
  <c r="G62" i="2" s="1"/>
  <c r="F206" i="2"/>
  <c r="G206" i="2" s="1"/>
  <c r="F308" i="2"/>
  <c r="F111" i="2"/>
  <c r="G111" i="2" s="1"/>
  <c r="H111" i="2" s="1"/>
  <c r="F159" i="2"/>
  <c r="G159" i="2" s="1"/>
  <c r="F120" i="2"/>
  <c r="G120" i="2" s="1"/>
  <c r="F81" i="2"/>
  <c r="F113" i="2"/>
  <c r="G113" i="2" s="1"/>
  <c r="H113" i="2" s="1"/>
  <c r="F148" i="2"/>
  <c r="G148" i="2" s="1"/>
  <c r="F232" i="2"/>
  <c r="G232" i="2" s="1"/>
  <c r="F117" i="2"/>
  <c r="F126" i="2"/>
  <c r="G126" i="2" s="1"/>
  <c r="H126" i="2" s="1"/>
  <c r="F90" i="2"/>
  <c r="G90" i="2" s="1"/>
  <c r="F108" i="2"/>
  <c r="G108" i="2" s="1"/>
  <c r="F166" i="2"/>
  <c r="F122" i="2"/>
  <c r="G122" i="2" s="1"/>
  <c r="H122" i="2" s="1"/>
  <c r="F152" i="2"/>
  <c r="G152" i="2" s="1"/>
  <c r="F95" i="2"/>
  <c r="G95" i="2" s="1"/>
  <c r="F161" i="2"/>
  <c r="F326" i="2"/>
  <c r="G326" i="2" s="1"/>
  <c r="H326" i="2" s="1"/>
  <c r="F149" i="2"/>
  <c r="G149" i="2" s="1"/>
  <c r="F201" i="2"/>
  <c r="G201" i="2" s="1"/>
  <c r="F291" i="2"/>
  <c r="F322" i="2"/>
  <c r="G322" i="2" s="1"/>
  <c r="H322" i="2" s="1"/>
  <c r="F270" i="2"/>
  <c r="G270" i="2" s="1"/>
  <c r="F101" i="2"/>
  <c r="G101" i="2" s="1"/>
  <c r="F286" i="2"/>
  <c r="F131" i="2"/>
  <c r="G131" i="2" s="1"/>
  <c r="H131" i="2" s="1"/>
  <c r="F209" i="2"/>
  <c r="G209" i="2" s="1"/>
  <c r="F133" i="2"/>
  <c r="G133" i="2" s="1"/>
  <c r="F103" i="2"/>
  <c r="F184" i="2"/>
  <c r="G184" i="2" s="1"/>
  <c r="H184" i="2" s="1"/>
  <c r="F203" i="2"/>
  <c r="G203" i="2" s="1"/>
  <c r="F177" i="2"/>
  <c r="G177" i="2" s="1"/>
  <c r="F234" i="2"/>
  <c r="F312" i="2"/>
  <c r="G312" i="2" s="1"/>
  <c r="H312" i="2" s="1"/>
  <c r="F268" i="2"/>
  <c r="G268" i="2" s="1"/>
  <c r="F181" i="2"/>
  <c r="G181" i="2" s="1"/>
  <c r="F116" i="2"/>
  <c r="F288" i="2"/>
  <c r="G288" i="2" s="1"/>
  <c r="H288" i="2" s="1"/>
  <c r="F171" i="2"/>
  <c r="G171" i="2" s="1"/>
  <c r="F212" i="2"/>
  <c r="G212" i="2" s="1"/>
  <c r="F290" i="2"/>
  <c r="F187" i="2"/>
  <c r="G187" i="2" s="1"/>
  <c r="H187" i="2" s="1"/>
  <c r="F287" i="2"/>
  <c r="G287" i="2" s="1"/>
  <c r="F154" i="2"/>
  <c r="G154" i="2" s="1"/>
  <c r="F179" i="2"/>
  <c r="F105" i="2"/>
  <c r="G105" i="2" s="1"/>
  <c r="H105" i="2" s="1"/>
  <c r="F301" i="2"/>
  <c r="G301" i="2" s="1"/>
  <c r="F134" i="2"/>
  <c r="G134" i="2" s="1"/>
  <c r="F258" i="2"/>
  <c r="F303" i="2"/>
  <c r="G303" i="2" s="1"/>
  <c r="H303" i="2" s="1"/>
  <c r="F269" i="2"/>
  <c r="G269" i="2" s="1"/>
  <c r="F230" i="2"/>
  <c r="G230" i="2" s="1"/>
  <c r="F346" i="2"/>
  <c r="F204" i="2"/>
  <c r="G204" i="2" s="1"/>
  <c r="H204" i="2" s="1"/>
  <c r="F238" i="2"/>
  <c r="G238" i="2" s="1"/>
  <c r="F129" i="2"/>
  <c r="G129" i="2" s="1"/>
  <c r="F246" i="2"/>
  <c r="F323" i="2"/>
  <c r="G323" i="2" s="1"/>
  <c r="H323" i="2" s="1"/>
  <c r="F167" i="2"/>
  <c r="G167" i="2" s="1"/>
  <c r="F362" i="2"/>
  <c r="G362" i="2" s="1"/>
  <c r="F170" i="2"/>
  <c r="F235" i="2"/>
  <c r="G235" i="2" s="1"/>
  <c r="H235" i="2" s="1"/>
  <c r="F289" i="2"/>
  <c r="G289" i="2" s="1"/>
  <c r="F297" i="2"/>
  <c r="G297" i="2" s="1"/>
  <c r="F78" i="2"/>
  <c r="F360" i="2"/>
  <c r="G360" i="2" s="1"/>
  <c r="H360" i="2" s="1"/>
  <c r="F249" i="2"/>
  <c r="G249" i="2" s="1"/>
  <c r="F325" i="2"/>
  <c r="G325" i="2" s="1"/>
  <c r="F314" i="2"/>
  <c r="F315" i="2"/>
  <c r="G315" i="2" s="1"/>
  <c r="H315" i="2" s="1"/>
  <c r="F255" i="2"/>
  <c r="G255" i="2" s="1"/>
  <c r="F321" i="2"/>
  <c r="G321" i="2" s="1"/>
  <c r="F142" i="2"/>
  <c r="F4" i="2"/>
  <c r="G4" i="2" s="1"/>
  <c r="H4" i="2" s="1"/>
  <c r="F7" i="2"/>
  <c r="G7" i="2" s="1"/>
  <c r="F55" i="2"/>
  <c r="G55" i="2" s="1"/>
  <c r="F16" i="2"/>
  <c r="F63" i="2"/>
  <c r="G63" i="2" s="1"/>
  <c r="H63" i="2" s="1"/>
  <c r="F218" i="2"/>
  <c r="G218" i="2" s="1"/>
  <c r="F319" i="2"/>
  <c r="G319" i="2" s="1"/>
  <c r="F121" i="2"/>
  <c r="F378" i="2"/>
  <c r="G378" i="2" s="1"/>
  <c r="H378" i="2" s="1"/>
  <c r="F96" i="2"/>
  <c r="G96" i="2" s="1"/>
  <c r="F73" i="2"/>
  <c r="G73" i="2" s="1"/>
  <c r="F392" i="2"/>
  <c r="F99" i="2"/>
  <c r="G99" i="2" s="1"/>
  <c r="H99" i="2" s="1"/>
  <c r="F244" i="2"/>
  <c r="G244" i="2" s="1"/>
  <c r="F34" i="2"/>
  <c r="G34" i="2" s="1"/>
  <c r="F61" i="2"/>
  <c r="F12" i="2"/>
  <c r="G12" i="2" s="1"/>
  <c r="H12" i="2" s="1"/>
  <c r="F26" i="2"/>
  <c r="G26" i="2" s="1"/>
  <c r="F356" i="2"/>
  <c r="G356" i="2" s="1"/>
  <c r="F52" i="2"/>
  <c r="F198" i="2"/>
  <c r="G198" i="2" s="1"/>
  <c r="H198" i="2" s="1"/>
  <c r="F393" i="2"/>
  <c r="G393" i="2" s="1"/>
  <c r="F15" i="2"/>
  <c r="G15" i="2" s="1"/>
  <c r="F110" i="2"/>
  <c r="F57" i="2"/>
  <c r="G57" i="2" s="1"/>
  <c r="H57" i="2" s="1"/>
  <c r="F251" i="2"/>
  <c r="G251" i="2" s="1"/>
  <c r="F195" i="2"/>
  <c r="G195" i="2" s="1"/>
  <c r="F56" i="2"/>
  <c r="F224" i="2"/>
  <c r="G224" i="2" s="1"/>
  <c r="H224" i="2" s="1"/>
  <c r="F379" i="2"/>
  <c r="G379" i="2" s="1"/>
  <c r="F51" i="2"/>
  <c r="G51" i="2" s="1"/>
  <c r="F60" i="2"/>
  <c r="F304" i="2"/>
  <c r="G304" i="2" s="1"/>
  <c r="H304" i="2" s="1"/>
  <c r="F196" i="2"/>
  <c r="G196" i="2" s="1"/>
  <c r="F272" i="2"/>
  <c r="G272" i="2" s="1"/>
  <c r="F127" i="2"/>
  <c r="F67" i="2"/>
  <c r="G67" i="2" s="1"/>
  <c r="H67" i="2" s="1"/>
  <c r="F318" i="2"/>
  <c r="G318" i="2" s="1"/>
  <c r="F296" i="2"/>
  <c r="G296" i="2" s="1"/>
  <c r="F248" i="2"/>
  <c r="F370" i="2"/>
  <c r="G370" i="2" s="1"/>
  <c r="H370" i="2" s="1"/>
  <c r="J370" i="2" s="1"/>
  <c r="F118" i="2"/>
  <c r="G118" i="2" s="1"/>
  <c r="F199" i="2"/>
  <c r="G199" i="2" s="1"/>
  <c r="F237" i="2"/>
  <c r="F176" i="2"/>
  <c r="G176" i="2" s="1"/>
  <c r="H176" i="2" s="1"/>
  <c r="F45" i="2"/>
  <c r="G45" i="2" s="1"/>
  <c r="F69" i="2"/>
  <c r="G69" i="2" s="1"/>
  <c r="F210" i="2"/>
  <c r="F280" i="2"/>
  <c r="G280" i="2" s="1"/>
  <c r="H280" i="2" s="1"/>
  <c r="F200" i="2"/>
  <c r="G200" i="2" s="1"/>
  <c r="F37" i="2"/>
  <c r="G37" i="2" s="1"/>
  <c r="F44" i="2"/>
  <c r="F130" i="2"/>
  <c r="G130" i="2" s="1"/>
  <c r="H130" i="2" s="1"/>
  <c r="J130" i="2" s="1"/>
  <c r="F300" i="2"/>
  <c r="G300" i="2" s="1"/>
  <c r="F389" i="2"/>
  <c r="G389" i="2" s="1"/>
  <c r="F369" i="2"/>
  <c r="F151" i="2"/>
  <c r="G151" i="2" s="1"/>
  <c r="H151" i="2" s="1"/>
  <c r="F89" i="2"/>
  <c r="G89" i="2" s="1"/>
  <c r="F190" i="2"/>
  <c r="G190" i="2" s="1"/>
  <c r="F35" i="2"/>
  <c r="F82" i="2"/>
  <c r="G82" i="2" s="1"/>
  <c r="H82" i="2" s="1"/>
  <c r="F115" i="2"/>
  <c r="G115" i="2" s="1"/>
  <c r="F83" i="2"/>
  <c r="G83" i="2" s="1"/>
  <c r="F47" i="2"/>
  <c r="F155" i="2"/>
  <c r="G155" i="2" s="1"/>
  <c r="H155" i="2" s="1"/>
  <c r="F373" i="2"/>
  <c r="G373" i="2" s="1"/>
  <c r="F313" i="2"/>
  <c r="G313" i="2" s="1"/>
  <c r="F388" i="2"/>
  <c r="F138" i="2"/>
  <c r="G138" i="2" s="1"/>
  <c r="H138" i="2" s="1"/>
  <c r="F124" i="2"/>
  <c r="G124" i="2" s="1"/>
  <c r="F112" i="2"/>
  <c r="G112" i="2" s="1"/>
  <c r="F358" i="2"/>
  <c r="F59" i="2"/>
  <c r="G59" i="2" s="1"/>
  <c r="H59" i="2" s="1"/>
  <c r="F68" i="2"/>
  <c r="G68" i="2" s="1"/>
  <c r="F242" i="2"/>
  <c r="G242" i="2" s="1"/>
  <c r="F189" i="2"/>
  <c r="F162" i="2"/>
  <c r="G162" i="2" s="1"/>
  <c r="H162" i="2" s="1"/>
  <c r="F173" i="2"/>
  <c r="G173" i="2" s="1"/>
  <c r="F264" i="2"/>
  <c r="G264" i="2" s="1"/>
  <c r="F372" i="2"/>
  <c r="F311" i="2"/>
  <c r="G311" i="2" s="1"/>
  <c r="H311" i="2" s="1"/>
  <c r="F135" i="2"/>
  <c r="G135" i="2" s="1"/>
  <c r="F65" i="2"/>
  <c r="G65" i="2" s="1"/>
  <c r="F363" i="2"/>
  <c r="F211" i="2"/>
  <c r="G211" i="2" s="1"/>
  <c r="H211" i="2" s="1"/>
  <c r="F292" i="2"/>
  <c r="G292" i="2" s="1"/>
  <c r="F49" i="2"/>
  <c r="G49" i="2" s="1"/>
  <c r="F178" i="2"/>
  <c r="F380" i="2"/>
  <c r="G380" i="2" s="1"/>
  <c r="H380" i="2" s="1"/>
  <c r="F74" i="2"/>
  <c r="G74" i="2" s="1"/>
  <c r="F231" i="2"/>
  <c r="G231" i="2" s="1"/>
  <c r="F188" i="2"/>
  <c r="F245" i="2"/>
  <c r="G245" i="2" s="1"/>
  <c r="H245" i="2" s="1"/>
  <c r="F172" i="2"/>
  <c r="G172" i="2" s="1"/>
  <c r="F254" i="2"/>
  <c r="G254" i="2" s="1"/>
  <c r="F194" i="2"/>
  <c r="F125" i="2"/>
  <c r="G125" i="2" s="1"/>
  <c r="H125" i="2" s="1"/>
  <c r="J125" i="2" s="1"/>
  <c r="F150" i="2"/>
  <c r="G150" i="2" s="1"/>
  <c r="F333" i="2"/>
  <c r="G333" i="2" s="1"/>
  <c r="F70" i="2"/>
  <c r="F169" i="2"/>
  <c r="G169" i="2" s="1"/>
  <c r="H169" i="2" s="1"/>
  <c r="F136" i="2"/>
  <c r="G136" i="2" s="1"/>
  <c r="F341" i="2"/>
  <c r="G341" i="2" s="1"/>
  <c r="F182" i="2"/>
  <c r="F334" i="2"/>
  <c r="G334" i="2" s="1"/>
  <c r="H334" i="2" s="1"/>
  <c r="F278" i="2"/>
  <c r="G278" i="2" s="1"/>
  <c r="F274" i="2"/>
  <c r="G274" i="2" s="1"/>
  <c r="F223" i="2"/>
  <c r="F282" i="2"/>
  <c r="G282" i="2" s="1"/>
  <c r="H282" i="2" s="1"/>
  <c r="J282" i="2" s="1"/>
  <c r="F221" i="2"/>
  <c r="G221" i="2" s="1"/>
  <c r="F283" i="2"/>
  <c r="G283" i="2" s="1"/>
  <c r="F225" i="2"/>
  <c r="F343" i="2"/>
  <c r="G343" i="2" s="1"/>
  <c r="H343" i="2" s="1"/>
  <c r="J343" i="2" s="1"/>
  <c r="F163" i="2"/>
  <c r="G163" i="2" s="1"/>
  <c r="F207" i="2"/>
  <c r="G207" i="2" s="1"/>
  <c r="F239" i="2"/>
  <c r="F214" i="2"/>
  <c r="G214" i="2" s="1"/>
  <c r="H214" i="2" s="1"/>
  <c r="J214" i="2" s="1"/>
  <c r="F27" i="2"/>
  <c r="G27" i="2" s="1"/>
  <c r="F220" i="2"/>
  <c r="G220" i="2" s="1"/>
  <c r="F417" i="2"/>
  <c r="F416" i="2"/>
  <c r="G416" i="2" s="1"/>
  <c r="H416" i="2" s="1"/>
  <c r="F324" i="2"/>
  <c r="G324" i="2" s="1"/>
  <c r="F408" i="2"/>
  <c r="G408" i="2" s="1"/>
  <c r="F13" i="2"/>
  <c r="F415" i="2"/>
  <c r="G415" i="2" s="1"/>
  <c r="H415" i="2" s="1"/>
  <c r="F271" i="2"/>
  <c r="G271" i="2" s="1"/>
  <c r="F409" i="2"/>
  <c r="G409" i="2" s="1"/>
  <c r="F302" i="2"/>
  <c r="F106" i="2"/>
  <c r="G106" i="2" s="1"/>
  <c r="H106" i="2" s="1"/>
  <c r="J106" i="2" s="1"/>
  <c r="F8" i="2"/>
  <c r="G8" i="2" s="1"/>
  <c r="F390" i="2"/>
  <c r="G390" i="2" s="1"/>
  <c r="F413" i="2"/>
  <c r="F84" i="2"/>
  <c r="G84" i="2" s="1"/>
  <c r="H84" i="2" s="1"/>
  <c r="F36" i="2"/>
  <c r="G36" i="2" s="1"/>
  <c r="F411" i="2"/>
  <c r="G411" i="2" s="1"/>
  <c r="F414" i="2"/>
  <c r="F293" i="2"/>
  <c r="G293" i="2" s="1"/>
  <c r="H293" i="2" s="1"/>
  <c r="F364" i="2"/>
  <c r="G364" i="2" s="1"/>
  <c r="F140" i="2"/>
  <c r="G140" i="2" s="1"/>
  <c r="F23" i="2"/>
  <c r="F412" i="2"/>
  <c r="G412" i="2" s="1"/>
  <c r="H412" i="2" s="1"/>
  <c r="F31" i="2"/>
  <c r="G31" i="2" s="1"/>
  <c r="F404" i="2"/>
  <c r="G404" i="2" s="1"/>
  <c r="F139" i="2"/>
  <c r="F401" i="2"/>
  <c r="G401" i="2" s="1"/>
  <c r="H401" i="2" s="1"/>
  <c r="F310" i="2"/>
  <c r="G310" i="2" s="1"/>
  <c r="F376" i="2"/>
  <c r="G376" i="2" s="1"/>
  <c r="F402" i="2"/>
  <c r="F410" i="2"/>
  <c r="G410" i="2" s="1"/>
  <c r="H410" i="2" s="1"/>
  <c r="F397" i="2"/>
  <c r="G397" i="2" s="1"/>
  <c r="F406" i="2"/>
  <c r="G406" i="2" s="1"/>
  <c r="F191" i="2"/>
  <c r="F21" i="2"/>
  <c r="G21" i="2" s="1"/>
  <c r="H21" i="2" s="1"/>
  <c r="F102" i="2"/>
  <c r="G102" i="2" s="1"/>
  <c r="F30" i="2"/>
  <c r="G30" i="2" s="1"/>
  <c r="F281" i="2"/>
  <c r="F385" i="2"/>
  <c r="G385" i="2" s="1"/>
  <c r="H385" i="2" s="1"/>
  <c r="F407" i="2"/>
  <c r="G407" i="2" s="1"/>
  <c r="F398" i="2"/>
  <c r="G398" i="2" s="1"/>
  <c r="F208" i="2"/>
  <c r="F185" i="2"/>
  <c r="G185" i="2" s="1"/>
  <c r="H185" i="2" s="1"/>
  <c r="F157" i="2"/>
  <c r="G157" i="2" s="1"/>
  <c r="F42" i="2"/>
  <c r="G42" i="2" s="1"/>
  <c r="F227" i="2"/>
  <c r="F405" i="2"/>
  <c r="G405" i="2" s="1"/>
  <c r="H405" i="2" s="1"/>
  <c r="F143" i="2"/>
  <c r="G143" i="2" s="1"/>
  <c r="F64" i="2"/>
  <c r="G64" i="2" s="1"/>
  <c r="F355" i="2"/>
  <c r="F240" i="2"/>
  <c r="G240" i="2" s="1"/>
  <c r="H240" i="2" s="1"/>
  <c r="F285" i="2"/>
  <c r="G285" i="2" s="1"/>
  <c r="F252" i="2"/>
  <c r="G252" i="2" s="1"/>
  <c r="F153" i="2"/>
  <c r="F183" i="2"/>
  <c r="G183" i="2" s="1"/>
  <c r="H183" i="2" s="1"/>
  <c r="F276" i="2"/>
  <c r="G276" i="2" s="1"/>
  <c r="F399" i="2"/>
  <c r="G399" i="2" s="1"/>
  <c r="F375" i="2"/>
  <c r="F156" i="2"/>
  <c r="G156" i="2" s="1"/>
  <c r="H156" i="2" s="1"/>
  <c r="J156" i="2" s="1"/>
  <c r="F381" i="2"/>
  <c r="G381" i="2" s="1"/>
  <c r="F306" i="2"/>
  <c r="G306" i="2" s="1"/>
  <c r="F164" i="2"/>
  <c r="F174" i="2"/>
  <c r="G174" i="2" s="1"/>
  <c r="H174" i="2" s="1"/>
  <c r="F365" i="2"/>
  <c r="G365" i="2" s="1"/>
  <c r="F386" i="2"/>
  <c r="G386" i="2" s="1"/>
  <c r="F309" i="2"/>
  <c r="F76" i="2"/>
  <c r="G76" i="2" s="1"/>
  <c r="H76" i="2" s="1"/>
  <c r="F128" i="2"/>
  <c r="G128" i="2" s="1"/>
  <c r="F394" i="2"/>
  <c r="G394" i="2" s="1"/>
  <c r="F320" i="2"/>
  <c r="F91" i="2"/>
  <c r="G91" i="2" s="1"/>
  <c r="H91" i="2" s="1"/>
  <c r="F383" i="2"/>
  <c r="G383" i="2" s="1"/>
  <c r="F38" i="2"/>
  <c r="G38" i="2" s="1"/>
  <c r="F371" i="2"/>
  <c r="F165" i="2"/>
  <c r="G165" i="2" s="1"/>
  <c r="H165" i="2" s="1"/>
  <c r="F396" i="2"/>
  <c r="G396" i="2" s="1"/>
  <c r="F400" i="2"/>
  <c r="G400" i="2" s="1"/>
  <c r="F93" i="2"/>
  <c r="F109" i="2"/>
  <c r="G109" i="2" s="1"/>
  <c r="H109" i="2" s="1"/>
  <c r="F347" i="2"/>
  <c r="G347" i="2" s="1"/>
  <c r="F137" i="2"/>
  <c r="G137" i="2" s="1"/>
  <c r="F132" i="2"/>
  <c r="F305" i="2"/>
  <c r="G305" i="2" s="1"/>
  <c r="H305" i="2" s="1"/>
  <c r="J305" i="2" s="1"/>
  <c r="F158" i="2"/>
  <c r="G158" i="2" s="1"/>
  <c r="F368" i="2"/>
  <c r="G368" i="2" s="1"/>
  <c r="F236" i="2"/>
  <c r="F98" i="2"/>
  <c r="G98" i="2" s="1"/>
  <c r="H98" i="2" s="1"/>
  <c r="F391" i="2"/>
  <c r="G391" i="2" s="1"/>
  <c r="F275" i="2"/>
  <c r="G275" i="2" s="1"/>
  <c r="F107" i="2"/>
  <c r="F79" i="2"/>
  <c r="G79" i="2" s="1"/>
  <c r="H79" i="2" s="1"/>
  <c r="J79" i="2" s="1"/>
  <c r="F114" i="2"/>
  <c r="G114" i="2" s="1"/>
  <c r="F80" i="2"/>
  <c r="G80" i="2" s="1"/>
  <c r="F307" i="2"/>
  <c r="F299" i="2"/>
  <c r="G299" i="2" s="1"/>
  <c r="H299" i="2" s="1"/>
  <c r="J299" i="2" s="1"/>
  <c r="F197" i="2"/>
  <c r="G197" i="2" s="1"/>
  <c r="F387" i="2"/>
  <c r="G387" i="2" s="1"/>
  <c r="F382" i="2"/>
  <c r="F233" i="2"/>
  <c r="G233" i="2" s="1"/>
  <c r="H233" i="2" s="1"/>
  <c r="F352" i="2"/>
  <c r="G352" i="2" s="1"/>
  <c r="F253" i="2"/>
  <c r="G253" i="2" s="1"/>
  <c r="F226" i="2"/>
  <c r="F351" i="2"/>
  <c r="G351" i="2" s="1"/>
  <c r="H351" i="2" s="1"/>
  <c r="J351" i="2" s="1"/>
  <c r="F100" i="2"/>
  <c r="G100" i="2" s="1"/>
  <c r="F71" i="2"/>
  <c r="G71" i="2" s="1"/>
  <c r="F259" i="2"/>
  <c r="F353" i="2"/>
  <c r="G353" i="2" s="1"/>
  <c r="H353" i="2" s="1"/>
  <c r="F395" i="2"/>
  <c r="G395" i="2" s="1"/>
  <c r="F357" i="2"/>
  <c r="G357" i="2" s="1"/>
  <c r="F217" i="2"/>
  <c r="F168" i="2"/>
  <c r="G168" i="2" s="1"/>
  <c r="F219" i="2"/>
  <c r="G219" i="2" s="1"/>
  <c r="F298" i="2"/>
  <c r="G298" i="2" s="1"/>
  <c r="F262" i="2"/>
  <c r="F85" i="2"/>
  <c r="G85" i="2" s="1"/>
  <c r="F359" i="2"/>
  <c r="G359" i="2" s="1"/>
  <c r="F186" i="2"/>
  <c r="G186" i="2" s="1"/>
  <c r="F327" i="2"/>
  <c r="F374" i="2"/>
  <c r="G374" i="2" s="1"/>
  <c r="F317" i="2"/>
  <c r="G317" i="2" s="1"/>
  <c r="F361" i="2"/>
  <c r="G361" i="2" s="1"/>
  <c r="F222" i="2"/>
  <c r="F384" i="2"/>
  <c r="G384" i="2" s="1"/>
  <c r="F50" i="2"/>
  <c r="G50" i="2" s="1"/>
  <c r="F147" i="2"/>
  <c r="G147" i="2" s="1"/>
  <c r="F180" i="2"/>
  <c r="F216" i="2"/>
  <c r="G216" i="2" s="1"/>
  <c r="F377" i="2"/>
  <c r="G377" i="2" s="1"/>
  <c r="F330" i="2"/>
  <c r="G330" i="2" s="1"/>
  <c r="F337" i="2"/>
  <c r="F229" i="2"/>
  <c r="G229" i="2" s="1"/>
  <c r="F160" i="2"/>
  <c r="G160" i="2" s="1"/>
  <c r="F350" i="2"/>
  <c r="G350" i="2" s="1"/>
  <c r="F175" i="2"/>
  <c r="F345" i="2"/>
  <c r="G345" i="2" s="1"/>
  <c r="F250" i="2"/>
  <c r="G250" i="2" s="1"/>
  <c r="F349" i="2"/>
  <c r="G349" i="2" s="1"/>
  <c r="F338" i="2"/>
  <c r="F342" i="2"/>
  <c r="G342" i="2" s="1"/>
  <c r="F256" i="2"/>
  <c r="G256" i="2" s="1"/>
  <c r="F331" i="2"/>
  <c r="G331" i="2" s="1"/>
  <c r="F205" i="2"/>
  <c r="F263" i="2"/>
  <c r="G263" i="2" s="1"/>
  <c r="F261" i="2"/>
  <c r="G261" i="2" s="1"/>
  <c r="F260" i="2"/>
  <c r="G260" i="2" s="1"/>
  <c r="F348" i="2"/>
  <c r="F336" i="2"/>
  <c r="G336" i="2" s="1"/>
  <c r="F335" i="2"/>
  <c r="G335" i="2" s="1"/>
  <c r="F266" i="2"/>
  <c r="G266" i="2" s="1"/>
  <c r="F332" i="2"/>
  <c r="F277" i="2"/>
  <c r="G277" i="2" s="1"/>
  <c r="F192" i="2"/>
  <c r="G192" i="2" s="1"/>
  <c r="F339" i="2"/>
  <c r="G339" i="2" s="1"/>
  <c r="F344" i="2"/>
  <c r="F340" i="2"/>
  <c r="G340" i="2" s="1"/>
  <c r="F241" i="2"/>
  <c r="G241" i="2" s="1"/>
  <c r="F40" i="2"/>
  <c r="G40" i="2" s="1"/>
  <c r="G3" i="2"/>
  <c r="H3" i="2" s="1"/>
  <c r="G2" i="2"/>
  <c r="H2" i="2" s="1"/>
  <c r="G11" i="2"/>
  <c r="H11" i="2" s="1"/>
  <c r="J11" i="2" s="1"/>
  <c r="G6" i="2"/>
  <c r="H6" i="2" s="1"/>
  <c r="G77" i="2"/>
  <c r="H77" i="2" s="1"/>
  <c r="G54" i="2"/>
  <c r="H54" i="2" s="1"/>
  <c r="G146" i="2"/>
  <c r="H146" i="2" s="1"/>
  <c r="G213" i="2"/>
  <c r="H213" i="2" s="1"/>
  <c r="G32" i="2"/>
  <c r="H32" i="2" s="1"/>
  <c r="G43" i="2"/>
  <c r="H43" i="2" s="1"/>
  <c r="G202" i="2"/>
  <c r="H202" i="2" s="1"/>
  <c r="J202" i="2" s="1"/>
  <c r="G193" i="2"/>
  <c r="H193" i="2" s="1"/>
  <c r="J193" i="2" s="1"/>
  <c r="G247" i="2"/>
  <c r="H247" i="2" s="1"/>
  <c r="G257" i="2"/>
  <c r="H257" i="2" s="1"/>
  <c r="G14" i="2"/>
  <c r="H14" i="2" s="1"/>
  <c r="J14" i="2" s="1"/>
  <c r="G284" i="2"/>
  <c r="H284" i="2" s="1"/>
  <c r="G33" i="2"/>
  <c r="H33" i="2" s="1"/>
  <c r="G104" i="2"/>
  <c r="H104" i="2" s="1"/>
  <c r="J104" i="2" s="1"/>
  <c r="G367" i="2"/>
  <c r="H367" i="2" s="1"/>
  <c r="G294" i="2"/>
  <c r="H294" i="2" s="1"/>
  <c r="G273" i="2"/>
  <c r="H273" i="2" s="1"/>
  <c r="G94" i="2"/>
  <c r="H94" i="2" s="1"/>
  <c r="G308" i="2"/>
  <c r="H308" i="2" s="1"/>
  <c r="G81" i="2"/>
  <c r="H81" i="2" s="1"/>
  <c r="J81" i="2" s="1"/>
  <c r="G117" i="2"/>
  <c r="H117" i="2" s="1"/>
  <c r="G166" i="2"/>
  <c r="H166" i="2" s="1"/>
  <c r="G161" i="2"/>
  <c r="H161" i="2" s="1"/>
  <c r="J161" i="2" s="1"/>
  <c r="G291" i="2"/>
  <c r="H291" i="2" s="1"/>
  <c r="G286" i="2"/>
  <c r="H286" i="2" s="1"/>
  <c r="G103" i="2"/>
  <c r="H103" i="2" s="1"/>
  <c r="G234" i="2"/>
  <c r="H234" i="2" s="1"/>
  <c r="G116" i="2"/>
  <c r="H116" i="2" s="1"/>
  <c r="G290" i="2"/>
  <c r="H290" i="2" s="1"/>
  <c r="G179" i="2"/>
  <c r="H179" i="2" s="1"/>
  <c r="G258" i="2"/>
  <c r="H258" i="2" s="1"/>
  <c r="G346" i="2"/>
  <c r="H346" i="2" s="1"/>
  <c r="G246" i="2"/>
  <c r="H246" i="2" s="1"/>
  <c r="G170" i="2"/>
  <c r="H170" i="2" s="1"/>
  <c r="G78" i="2"/>
  <c r="H78" i="2" s="1"/>
  <c r="G314" i="2"/>
  <c r="H314" i="2" s="1"/>
  <c r="G142" i="2"/>
  <c r="H142" i="2" s="1"/>
  <c r="G16" i="2"/>
  <c r="H16" i="2" s="1"/>
  <c r="G121" i="2"/>
  <c r="H121" i="2" s="1"/>
  <c r="G392" i="2"/>
  <c r="H392" i="2" s="1"/>
  <c r="G61" i="2"/>
  <c r="H61" i="2" s="1"/>
  <c r="G52" i="2"/>
  <c r="H52" i="2" s="1"/>
  <c r="G110" i="2"/>
  <c r="H110" i="2" s="1"/>
  <c r="J110" i="2" s="1"/>
  <c r="G56" i="2"/>
  <c r="H56" i="2" s="1"/>
  <c r="J56" i="2" s="1"/>
  <c r="G60" i="2"/>
  <c r="H60" i="2" s="1"/>
  <c r="G127" i="2"/>
  <c r="H127" i="2" s="1"/>
  <c r="J127" i="2" s="1"/>
  <c r="G248" i="2"/>
  <c r="H248" i="2" s="1"/>
  <c r="J248" i="2" s="1"/>
  <c r="G237" i="2"/>
  <c r="H237" i="2" s="1"/>
  <c r="G210" i="2"/>
  <c r="H210" i="2" s="1"/>
  <c r="G44" i="2"/>
  <c r="H44" i="2" s="1"/>
  <c r="G369" i="2"/>
  <c r="H369" i="2" s="1"/>
  <c r="G35" i="2"/>
  <c r="H35" i="2" s="1"/>
  <c r="G47" i="2"/>
  <c r="H47" i="2" s="1"/>
  <c r="G388" i="2"/>
  <c r="H388" i="2" s="1"/>
  <c r="G358" i="2"/>
  <c r="H358" i="2" s="1"/>
  <c r="G189" i="2"/>
  <c r="H189" i="2" s="1"/>
  <c r="J189" i="2" s="1"/>
  <c r="G372" i="2"/>
  <c r="H372" i="2" s="1"/>
  <c r="G363" i="2"/>
  <c r="H363" i="2" s="1"/>
  <c r="G178" i="2"/>
  <c r="H178" i="2" s="1"/>
  <c r="G188" i="2"/>
  <c r="H188" i="2" s="1"/>
  <c r="G194" i="2"/>
  <c r="H194" i="2" s="1"/>
  <c r="G70" i="2"/>
  <c r="H70" i="2" s="1"/>
  <c r="G182" i="2"/>
  <c r="H182" i="2" s="1"/>
  <c r="G223" i="2"/>
  <c r="H223" i="2" s="1"/>
  <c r="G225" i="2"/>
  <c r="H225" i="2" s="1"/>
  <c r="G239" i="2"/>
  <c r="H239" i="2" s="1"/>
  <c r="J239" i="2" s="1"/>
  <c r="G417" i="2"/>
  <c r="H417" i="2" s="1"/>
  <c r="G13" i="2"/>
  <c r="H13" i="2" s="1"/>
  <c r="G302" i="2"/>
  <c r="H302" i="2" s="1"/>
  <c r="G413" i="2"/>
  <c r="H413" i="2" s="1"/>
  <c r="G414" i="2"/>
  <c r="H414" i="2" s="1"/>
  <c r="G23" i="2"/>
  <c r="H23" i="2" s="1"/>
  <c r="G139" i="2"/>
  <c r="H139" i="2" s="1"/>
  <c r="G402" i="2"/>
  <c r="H402" i="2" s="1"/>
  <c r="J402" i="2" s="1"/>
  <c r="G191" i="2"/>
  <c r="H191" i="2" s="1"/>
  <c r="J191" i="2" s="1"/>
  <c r="G281" i="2"/>
  <c r="H281" i="2" s="1"/>
  <c r="J281" i="2" s="1"/>
  <c r="G208" i="2"/>
  <c r="H208" i="2" s="1"/>
  <c r="G227" i="2"/>
  <c r="H227" i="2" s="1"/>
  <c r="G355" i="2"/>
  <c r="H355" i="2" s="1"/>
  <c r="G153" i="2"/>
  <c r="H153" i="2" s="1"/>
  <c r="G375" i="2"/>
  <c r="H375" i="2" s="1"/>
  <c r="G164" i="2"/>
  <c r="H164" i="2" s="1"/>
  <c r="G309" i="2"/>
  <c r="H309" i="2" s="1"/>
  <c r="G320" i="2"/>
  <c r="H320" i="2" s="1"/>
  <c r="J320" i="2" s="1"/>
  <c r="G371" i="2"/>
  <c r="H371" i="2" s="1"/>
  <c r="G93" i="2"/>
  <c r="H93" i="2" s="1"/>
  <c r="G132" i="2"/>
  <c r="H132" i="2" s="1"/>
  <c r="G236" i="2"/>
  <c r="H236" i="2" s="1"/>
  <c r="J236" i="2" s="1"/>
  <c r="G107" i="2"/>
  <c r="H107" i="2" s="1"/>
  <c r="G307" i="2"/>
  <c r="H307" i="2" s="1"/>
  <c r="G382" i="2"/>
  <c r="H382" i="2" s="1"/>
  <c r="J382" i="2" s="1"/>
  <c r="G226" i="2"/>
  <c r="H226" i="2" s="1"/>
  <c r="G259" i="2"/>
  <c r="H259" i="2" s="1"/>
  <c r="G217" i="2"/>
  <c r="H217" i="2" s="1"/>
  <c r="G262" i="2"/>
  <c r="G327" i="2"/>
  <c r="G222" i="2"/>
  <c r="G180" i="2"/>
  <c r="G337" i="2"/>
  <c r="G175" i="2"/>
  <c r="G338" i="2"/>
  <c r="G205" i="2"/>
  <c r="G348" i="2"/>
  <c r="G332" i="2"/>
  <c r="G344" i="2"/>
  <c r="T64" i="2" a="1"/>
  <c r="T64" i="2" s="1"/>
  <c r="T43" i="2" a="1"/>
  <c r="T43" i="2" s="1"/>
  <c r="T34" i="2"/>
  <c r="T33" i="2"/>
  <c r="T32" i="2"/>
  <c r="T31" i="2"/>
  <c r="T30" i="2"/>
  <c r="T19" i="2"/>
  <c r="T22" i="2"/>
  <c r="T23" i="2"/>
  <c r="T21" i="2"/>
  <c r="T20" i="2"/>
  <c r="I40" i="2"/>
  <c r="D22" i="25"/>
  <c r="D23" i="25"/>
  <c r="D24" i="25"/>
  <c r="D25" i="25"/>
  <c r="D26" i="25"/>
  <c r="D27" i="25"/>
  <c r="D21" i="25"/>
  <c r="M9" i="15"/>
  <c r="M10" i="15"/>
  <c r="I31" i="15"/>
  <c r="H31" i="15"/>
  <c r="H30" i="15"/>
  <c r="I30" i="15" s="1"/>
  <c r="I29" i="15"/>
  <c r="H29" i="15"/>
  <c r="H28" i="15"/>
  <c r="I28" i="15" s="1"/>
  <c r="I27" i="15"/>
  <c r="H27" i="15"/>
  <c r="H26" i="15"/>
  <c r="I26" i="15" s="1"/>
  <c r="I25" i="15"/>
  <c r="H25" i="15"/>
  <c r="H24" i="15"/>
  <c r="I24" i="15" s="1"/>
  <c r="I23" i="15"/>
  <c r="H23" i="15"/>
  <c r="H22" i="15"/>
  <c r="I22" i="15" s="1"/>
  <c r="I21" i="15"/>
  <c r="H21" i="15"/>
  <c r="H20" i="15"/>
  <c r="I20" i="15" s="1"/>
  <c r="I19" i="15"/>
  <c r="H19" i="15"/>
  <c r="H18" i="15"/>
  <c r="I18" i="15" s="1"/>
  <c r="I17" i="15"/>
  <c r="H17" i="15"/>
  <c r="H16" i="15"/>
  <c r="I16" i="15" s="1"/>
  <c r="I15" i="15"/>
  <c r="H15" i="15"/>
  <c r="H14" i="15"/>
  <c r="I14" i="15" s="1"/>
  <c r="I13" i="15"/>
  <c r="H13" i="15"/>
  <c r="H12" i="15"/>
  <c r="I12" i="15" s="1"/>
  <c r="I11" i="15"/>
  <c r="H11" i="15"/>
  <c r="H10" i="15"/>
  <c r="I10" i="15" s="1"/>
  <c r="I9" i="15"/>
  <c r="H9" i="15"/>
  <c r="H8" i="15"/>
  <c r="I8" i="15" s="1"/>
  <c r="I7" i="15"/>
  <c r="H7" i="15"/>
  <c r="H6" i="15"/>
  <c r="I6" i="15" s="1"/>
  <c r="I5" i="15"/>
  <c r="H5" i="15"/>
  <c r="H4" i="15"/>
  <c r="I4" i="15" s="1"/>
  <c r="I3" i="15"/>
  <c r="H3" i="15"/>
  <c r="J2" i="15"/>
  <c r="J3" i="15" s="1"/>
  <c r="J4" i="15" s="1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H2" i="15"/>
  <c r="I2" i="15" s="1"/>
  <c r="M11" i="24"/>
  <c r="M11" i="22"/>
  <c r="M11" i="23"/>
  <c r="M11" i="17"/>
  <c r="M11" i="18"/>
  <c r="M11" i="19"/>
  <c r="B9" i="25"/>
  <c r="M10" i="22"/>
  <c r="M10" i="23"/>
  <c r="M10" i="24"/>
  <c r="M10" i="19"/>
  <c r="M10" i="18"/>
  <c r="M10" i="17"/>
  <c r="I31" i="24"/>
  <c r="H31" i="24"/>
  <c r="H30" i="24"/>
  <c r="I30" i="24" s="1"/>
  <c r="I29" i="24"/>
  <c r="H29" i="24"/>
  <c r="H28" i="24"/>
  <c r="I28" i="24" s="1"/>
  <c r="I27" i="24"/>
  <c r="H27" i="24"/>
  <c r="H26" i="24"/>
  <c r="I26" i="24" s="1"/>
  <c r="I25" i="24"/>
  <c r="H25" i="24"/>
  <c r="H24" i="24"/>
  <c r="I24" i="24" s="1"/>
  <c r="I23" i="24"/>
  <c r="H23" i="24"/>
  <c r="H22" i="24"/>
  <c r="I22" i="24" s="1"/>
  <c r="I21" i="24"/>
  <c r="H21" i="24"/>
  <c r="H20" i="24"/>
  <c r="I20" i="24" s="1"/>
  <c r="I19" i="24"/>
  <c r="H19" i="24"/>
  <c r="H18" i="24"/>
  <c r="I18" i="24" s="1"/>
  <c r="I17" i="24"/>
  <c r="H17" i="24"/>
  <c r="H16" i="24"/>
  <c r="I16" i="24" s="1"/>
  <c r="I15" i="24"/>
  <c r="H15" i="24"/>
  <c r="H14" i="24"/>
  <c r="I14" i="24" s="1"/>
  <c r="I13" i="24"/>
  <c r="H13" i="24"/>
  <c r="H12" i="24"/>
  <c r="I12" i="24" s="1"/>
  <c r="I11" i="24"/>
  <c r="H11" i="24"/>
  <c r="H10" i="24"/>
  <c r="I10" i="24" s="1"/>
  <c r="I9" i="24"/>
  <c r="H9" i="24"/>
  <c r="H8" i="24"/>
  <c r="I8" i="24" s="1"/>
  <c r="I7" i="24"/>
  <c r="H7" i="24"/>
  <c r="H6" i="24"/>
  <c r="I6" i="24" s="1"/>
  <c r="I5" i="24"/>
  <c r="H5" i="24"/>
  <c r="H4" i="24"/>
  <c r="I4" i="24" s="1"/>
  <c r="I3" i="24"/>
  <c r="H3" i="24"/>
  <c r="J2" i="24"/>
  <c r="J3" i="24" s="1"/>
  <c r="J4" i="24" s="1"/>
  <c r="J5" i="24" s="1"/>
  <c r="J6" i="24" s="1"/>
  <c r="J7" i="24" s="1"/>
  <c r="J8" i="24" s="1"/>
  <c r="J9" i="24" s="1"/>
  <c r="J10" i="24" s="1"/>
  <c r="J11" i="24" s="1"/>
  <c r="J12" i="24" s="1"/>
  <c r="J13" i="24" s="1"/>
  <c r="J14" i="24" s="1"/>
  <c r="J15" i="24" s="1"/>
  <c r="J16" i="24" s="1"/>
  <c r="J17" i="24" s="1"/>
  <c r="J18" i="24" s="1"/>
  <c r="J19" i="24" s="1"/>
  <c r="J20" i="24" s="1"/>
  <c r="J21" i="24" s="1"/>
  <c r="J22" i="24" s="1"/>
  <c r="J23" i="24" s="1"/>
  <c r="J24" i="24" s="1"/>
  <c r="J25" i="24" s="1"/>
  <c r="J26" i="24" s="1"/>
  <c r="J27" i="24" s="1"/>
  <c r="J28" i="24" s="1"/>
  <c r="J29" i="24" s="1"/>
  <c r="J30" i="24" s="1"/>
  <c r="J31" i="24" s="1"/>
  <c r="H2" i="24"/>
  <c r="I2" i="24" s="1"/>
  <c r="I31" i="22"/>
  <c r="H31" i="22"/>
  <c r="H30" i="22"/>
  <c r="I30" i="22" s="1"/>
  <c r="H29" i="22"/>
  <c r="I29" i="22" s="1"/>
  <c r="H28" i="22"/>
  <c r="I28" i="22" s="1"/>
  <c r="I27" i="22"/>
  <c r="H27" i="22"/>
  <c r="H26" i="22"/>
  <c r="I26" i="22" s="1"/>
  <c r="H25" i="22"/>
  <c r="I25" i="22" s="1"/>
  <c r="H24" i="22"/>
  <c r="I24" i="22" s="1"/>
  <c r="I23" i="22"/>
  <c r="H23" i="22"/>
  <c r="H22" i="22"/>
  <c r="I22" i="22" s="1"/>
  <c r="H21" i="22"/>
  <c r="I21" i="22" s="1"/>
  <c r="H20" i="22"/>
  <c r="I20" i="22" s="1"/>
  <c r="I19" i="22"/>
  <c r="H19" i="22"/>
  <c r="H18" i="22"/>
  <c r="I18" i="22" s="1"/>
  <c r="H17" i="22"/>
  <c r="I17" i="22" s="1"/>
  <c r="H16" i="22"/>
  <c r="I16" i="22" s="1"/>
  <c r="I15" i="22"/>
  <c r="H15" i="22"/>
  <c r="H14" i="22"/>
  <c r="I14" i="22" s="1"/>
  <c r="H13" i="22"/>
  <c r="I13" i="22" s="1"/>
  <c r="H12" i="22"/>
  <c r="I12" i="22" s="1"/>
  <c r="I11" i="22"/>
  <c r="H11" i="22"/>
  <c r="H10" i="22"/>
  <c r="I10" i="22" s="1"/>
  <c r="H9" i="22"/>
  <c r="I9" i="22" s="1"/>
  <c r="H8" i="22"/>
  <c r="I8" i="22" s="1"/>
  <c r="I7" i="22"/>
  <c r="H7" i="22"/>
  <c r="H6" i="22"/>
  <c r="I6" i="22" s="1"/>
  <c r="H5" i="22"/>
  <c r="I5" i="22" s="1"/>
  <c r="J4" i="22"/>
  <c r="J5" i="22" s="1"/>
  <c r="J6" i="22" s="1"/>
  <c r="J7" i="22" s="1"/>
  <c r="J8" i="22" s="1"/>
  <c r="J9" i="22" s="1"/>
  <c r="J10" i="22" s="1"/>
  <c r="J11" i="22" s="1"/>
  <c r="J12" i="22" s="1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H4" i="22"/>
  <c r="I4" i="22" s="1"/>
  <c r="J3" i="22"/>
  <c r="I3" i="22"/>
  <c r="H3" i="22"/>
  <c r="J2" i="22"/>
  <c r="H2" i="22"/>
  <c r="I2" i="22" s="1"/>
  <c r="I31" i="23"/>
  <c r="H31" i="23"/>
  <c r="H30" i="23"/>
  <c r="I30" i="23" s="1"/>
  <c r="I29" i="23"/>
  <c r="H29" i="23"/>
  <c r="H28" i="23"/>
  <c r="I28" i="23" s="1"/>
  <c r="I27" i="23"/>
  <c r="H27" i="23"/>
  <c r="H26" i="23"/>
  <c r="I26" i="23" s="1"/>
  <c r="I25" i="23"/>
  <c r="H25" i="23"/>
  <c r="H24" i="23"/>
  <c r="I24" i="23" s="1"/>
  <c r="I23" i="23"/>
  <c r="H23" i="23"/>
  <c r="H22" i="23"/>
  <c r="I22" i="23" s="1"/>
  <c r="I21" i="23"/>
  <c r="H21" i="23"/>
  <c r="H20" i="23"/>
  <c r="I20" i="23" s="1"/>
  <c r="I19" i="23"/>
  <c r="H19" i="23"/>
  <c r="H18" i="23"/>
  <c r="I18" i="23" s="1"/>
  <c r="I17" i="23"/>
  <c r="H17" i="23"/>
  <c r="H16" i="23"/>
  <c r="I16" i="23" s="1"/>
  <c r="I15" i="23"/>
  <c r="H15" i="23"/>
  <c r="H14" i="23"/>
  <c r="I14" i="23" s="1"/>
  <c r="I13" i="23"/>
  <c r="H13" i="23"/>
  <c r="H12" i="23"/>
  <c r="I12" i="23" s="1"/>
  <c r="I11" i="23"/>
  <c r="H11" i="23"/>
  <c r="H10" i="23"/>
  <c r="I10" i="23" s="1"/>
  <c r="I9" i="23"/>
  <c r="H9" i="23"/>
  <c r="H8" i="23"/>
  <c r="I8" i="23" s="1"/>
  <c r="I7" i="23"/>
  <c r="H7" i="23"/>
  <c r="H6" i="23"/>
  <c r="I6" i="23" s="1"/>
  <c r="I5" i="23"/>
  <c r="H5" i="23"/>
  <c r="H4" i="23"/>
  <c r="I4" i="23" s="1"/>
  <c r="I3" i="23"/>
  <c r="H3" i="23"/>
  <c r="J2" i="23"/>
  <c r="J3" i="23" s="1"/>
  <c r="J4" i="23" s="1"/>
  <c r="J5" i="23" s="1"/>
  <c r="J6" i="23" s="1"/>
  <c r="J7" i="23" s="1"/>
  <c r="J8" i="23" s="1"/>
  <c r="J9" i="23" s="1"/>
  <c r="J10" i="23" s="1"/>
  <c r="J11" i="23" s="1"/>
  <c r="J12" i="23" s="1"/>
  <c r="J13" i="23" s="1"/>
  <c r="J14" i="23" s="1"/>
  <c r="J15" i="23" s="1"/>
  <c r="J16" i="23" s="1"/>
  <c r="J17" i="23" s="1"/>
  <c r="J18" i="23" s="1"/>
  <c r="J19" i="23" s="1"/>
  <c r="J20" i="23" s="1"/>
  <c r="J21" i="23" s="1"/>
  <c r="J22" i="23" s="1"/>
  <c r="J23" i="23" s="1"/>
  <c r="J24" i="23" s="1"/>
  <c r="J25" i="23" s="1"/>
  <c r="J26" i="23" s="1"/>
  <c r="J27" i="23" s="1"/>
  <c r="J28" i="23" s="1"/>
  <c r="J29" i="23" s="1"/>
  <c r="J30" i="23" s="1"/>
  <c r="J31" i="23" s="1"/>
  <c r="H2" i="23"/>
  <c r="I2" i="23" s="1"/>
  <c r="I31" i="19"/>
  <c r="H31" i="19"/>
  <c r="H30" i="19"/>
  <c r="I30" i="19" s="1"/>
  <c r="I29" i="19"/>
  <c r="H29" i="19"/>
  <c r="H28" i="19"/>
  <c r="I28" i="19" s="1"/>
  <c r="I27" i="19"/>
  <c r="H27" i="19"/>
  <c r="H26" i="19"/>
  <c r="I26" i="19" s="1"/>
  <c r="I25" i="19"/>
  <c r="H25" i="19"/>
  <c r="H24" i="19"/>
  <c r="I24" i="19" s="1"/>
  <c r="I23" i="19"/>
  <c r="H23" i="19"/>
  <c r="H22" i="19"/>
  <c r="I22" i="19" s="1"/>
  <c r="I21" i="19"/>
  <c r="H21" i="19"/>
  <c r="H20" i="19"/>
  <c r="I20" i="19" s="1"/>
  <c r="I19" i="19"/>
  <c r="H19" i="19"/>
  <c r="H18" i="19"/>
  <c r="I18" i="19" s="1"/>
  <c r="I17" i="19"/>
  <c r="H17" i="19"/>
  <c r="H16" i="19"/>
  <c r="I16" i="19" s="1"/>
  <c r="I15" i="19"/>
  <c r="H15" i="19"/>
  <c r="H14" i="19"/>
  <c r="I14" i="19" s="1"/>
  <c r="I13" i="19"/>
  <c r="H13" i="19"/>
  <c r="H12" i="19"/>
  <c r="I12" i="19" s="1"/>
  <c r="H11" i="19"/>
  <c r="I11" i="19" s="1"/>
  <c r="H10" i="19"/>
  <c r="I10" i="19" s="1"/>
  <c r="I9" i="19"/>
  <c r="H9" i="19"/>
  <c r="H8" i="19"/>
  <c r="I8" i="19" s="1"/>
  <c r="H7" i="19"/>
  <c r="I7" i="19" s="1"/>
  <c r="H6" i="19"/>
  <c r="I6" i="19" s="1"/>
  <c r="I5" i="19"/>
  <c r="H5" i="19"/>
  <c r="H4" i="19"/>
  <c r="I4" i="19" s="1"/>
  <c r="H3" i="19"/>
  <c r="I3" i="19" s="1"/>
  <c r="J2" i="19"/>
  <c r="J3" i="19" s="1"/>
  <c r="J4" i="19" s="1"/>
  <c r="J5" i="19" s="1"/>
  <c r="J6" i="19" s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H2" i="19"/>
  <c r="I2" i="19" s="1"/>
  <c r="H31" i="17"/>
  <c r="I31" i="17" s="1"/>
  <c r="H30" i="17"/>
  <c r="I30" i="17" s="1"/>
  <c r="I29" i="17"/>
  <c r="H29" i="17"/>
  <c r="H28" i="17"/>
  <c r="I28" i="17" s="1"/>
  <c r="H27" i="17"/>
  <c r="I27" i="17" s="1"/>
  <c r="H26" i="17"/>
  <c r="I26" i="17" s="1"/>
  <c r="I25" i="17"/>
  <c r="H25" i="17"/>
  <c r="H24" i="17"/>
  <c r="I24" i="17" s="1"/>
  <c r="H23" i="17"/>
  <c r="I23" i="17" s="1"/>
  <c r="H22" i="17"/>
  <c r="I22" i="17" s="1"/>
  <c r="I21" i="17"/>
  <c r="H21" i="17"/>
  <c r="H20" i="17"/>
  <c r="I20" i="17" s="1"/>
  <c r="H19" i="17"/>
  <c r="I19" i="17" s="1"/>
  <c r="H18" i="17"/>
  <c r="I18" i="17" s="1"/>
  <c r="I17" i="17"/>
  <c r="H17" i="17"/>
  <c r="H16" i="17"/>
  <c r="I16" i="17" s="1"/>
  <c r="H15" i="17"/>
  <c r="I15" i="17" s="1"/>
  <c r="H14" i="17"/>
  <c r="I14" i="17" s="1"/>
  <c r="I13" i="17"/>
  <c r="H13" i="17"/>
  <c r="H12" i="17"/>
  <c r="I12" i="17" s="1"/>
  <c r="H11" i="17"/>
  <c r="I11" i="17" s="1"/>
  <c r="H10" i="17"/>
  <c r="I10" i="17" s="1"/>
  <c r="I9" i="17"/>
  <c r="H9" i="17"/>
  <c r="H8" i="17"/>
  <c r="I8" i="17" s="1"/>
  <c r="H7" i="17"/>
  <c r="I7" i="17" s="1"/>
  <c r="H6" i="17"/>
  <c r="I6" i="17" s="1"/>
  <c r="I5" i="17"/>
  <c r="H5" i="17"/>
  <c r="H4" i="17"/>
  <c r="I4" i="17" s="1"/>
  <c r="H3" i="17"/>
  <c r="I3" i="17" s="1"/>
  <c r="J2" i="17"/>
  <c r="J3" i="17" s="1"/>
  <c r="J4" i="17" s="1"/>
  <c r="J5" i="17" s="1"/>
  <c r="J6" i="17" s="1"/>
  <c r="J7" i="17" s="1"/>
  <c r="J8" i="17" s="1"/>
  <c r="J9" i="17" s="1"/>
  <c r="J10" i="17" s="1"/>
  <c r="J11" i="17" s="1"/>
  <c r="J12" i="17" s="1"/>
  <c r="J13" i="17" s="1"/>
  <c r="J14" i="17" s="1"/>
  <c r="J15" i="17" s="1"/>
  <c r="J16" i="17" s="1"/>
  <c r="J17" i="17" s="1"/>
  <c r="J18" i="17" s="1"/>
  <c r="J19" i="17" s="1"/>
  <c r="J20" i="17" s="1"/>
  <c r="J21" i="17" s="1"/>
  <c r="J22" i="17" s="1"/>
  <c r="J23" i="17" s="1"/>
  <c r="J24" i="17" s="1"/>
  <c r="J25" i="17" s="1"/>
  <c r="J26" i="17" s="1"/>
  <c r="J27" i="17" s="1"/>
  <c r="J28" i="17" s="1"/>
  <c r="J29" i="17" s="1"/>
  <c r="J30" i="17" s="1"/>
  <c r="J31" i="17" s="1"/>
  <c r="H2" i="17"/>
  <c r="I2" i="17" s="1"/>
  <c r="J4" i="18"/>
  <c r="J5" i="18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J18" i="18" s="1"/>
  <c r="J19" i="18" s="1"/>
  <c r="J20" i="18" s="1"/>
  <c r="J21" i="18" s="1"/>
  <c r="J22" i="18" s="1"/>
  <c r="J23" i="18" s="1"/>
  <c r="J24" i="18" s="1"/>
  <c r="J25" i="18" s="1"/>
  <c r="J26" i="18" s="1"/>
  <c r="J27" i="18" s="1"/>
  <c r="J28" i="18" s="1"/>
  <c r="J29" i="18" s="1"/>
  <c r="J30" i="18" s="1"/>
  <c r="J31" i="18" s="1"/>
  <c r="J3" i="18"/>
  <c r="J2" i="18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2" i="18"/>
  <c r="E265" i="2"/>
  <c r="E103" i="2"/>
  <c r="E217" i="2"/>
  <c r="E201" i="2"/>
  <c r="E172" i="2"/>
  <c r="E294" i="2"/>
  <c r="E131" i="2"/>
  <c r="E244" i="2"/>
  <c r="E125" i="2"/>
  <c r="E335" i="2"/>
  <c r="E31" i="2"/>
  <c r="E296" i="2"/>
  <c r="E3" i="2"/>
  <c r="E308" i="2"/>
  <c r="E323" i="2"/>
  <c r="E229" i="2"/>
  <c r="E124" i="2"/>
  <c r="E304" i="2"/>
  <c r="E322" i="2"/>
  <c r="E403" i="2"/>
  <c r="E62" i="2"/>
  <c r="E212" i="2"/>
  <c r="E280" i="2"/>
  <c r="E89" i="2"/>
  <c r="E130" i="2"/>
  <c r="E9" i="2"/>
  <c r="E390" i="2"/>
  <c r="E405" i="2"/>
  <c r="E55" i="2"/>
  <c r="E288" i="2"/>
  <c r="E42" i="2"/>
  <c r="E291" i="2"/>
  <c r="E27" i="2"/>
  <c r="E84" i="2"/>
  <c r="E407" i="2"/>
  <c r="E90" i="2"/>
  <c r="E268" i="2"/>
  <c r="E18" i="2"/>
  <c r="E375" i="2"/>
  <c r="E118" i="2"/>
  <c r="E389" i="2"/>
  <c r="E241" i="2"/>
  <c r="E332" i="2"/>
  <c r="E346" i="2"/>
  <c r="E383" i="2"/>
  <c r="E411" i="2"/>
  <c r="E327" i="2"/>
  <c r="E300" i="2"/>
  <c r="E26" i="2"/>
  <c r="E169" i="2"/>
  <c r="E216" i="2"/>
  <c r="E213" i="2"/>
  <c r="E60" i="2"/>
  <c r="E139" i="2"/>
  <c r="E159" i="2"/>
  <c r="E367" i="2"/>
  <c r="E342" i="2"/>
  <c r="E37" i="2"/>
  <c r="E352" i="2"/>
  <c r="E113" i="2"/>
  <c r="E102" i="2"/>
  <c r="E249" i="2"/>
  <c r="E188" i="2"/>
  <c r="E205" i="2"/>
  <c r="E12" i="2"/>
  <c r="E226" i="2"/>
  <c r="E333" i="2"/>
  <c r="E105" i="2"/>
  <c r="E193" i="2"/>
  <c r="E314" i="2"/>
  <c r="E387" i="2"/>
  <c r="E408" i="2"/>
  <c r="E287" i="2"/>
  <c r="E364" i="2"/>
  <c r="E48" i="2"/>
  <c r="E284" i="2"/>
  <c r="E400" i="2"/>
  <c r="E98" i="2"/>
  <c r="E196" i="2"/>
  <c r="E224" i="2"/>
  <c r="E96" i="2"/>
  <c r="E365" i="2"/>
  <c r="E197" i="2"/>
  <c r="E35" i="2"/>
  <c r="E41" i="2"/>
  <c r="E228" i="2"/>
  <c r="E148" i="2"/>
  <c r="E182" i="2"/>
  <c r="E370" i="2"/>
  <c r="E380" i="2"/>
  <c r="E132" i="2"/>
  <c r="E94" i="2"/>
  <c r="E141" i="2"/>
  <c r="E233" i="2"/>
  <c r="E68" i="2"/>
  <c r="E412" i="2"/>
  <c r="E338" i="2"/>
  <c r="E293" i="2"/>
  <c r="E297" i="2"/>
  <c r="E253" i="2"/>
  <c r="E339" i="2"/>
  <c r="E86" i="2"/>
  <c r="E115" i="2"/>
  <c r="E397" i="2"/>
  <c r="E63" i="2"/>
  <c r="E85" i="2"/>
  <c r="E72" i="2"/>
  <c r="E393" i="2"/>
  <c r="E104" i="2"/>
  <c r="E258" i="2"/>
  <c r="E8" i="2"/>
  <c r="E111" i="2"/>
  <c r="E236" i="2"/>
  <c r="E414" i="2"/>
  <c r="E404" i="2"/>
  <c r="E146" i="2"/>
  <c r="E305" i="2"/>
  <c r="E155" i="2"/>
  <c r="E100" i="2"/>
  <c r="E74" i="2"/>
  <c r="E360" i="2"/>
  <c r="E369" i="2"/>
  <c r="E277" i="2"/>
  <c r="E151" i="2"/>
  <c r="E129" i="2"/>
  <c r="E142" i="2"/>
  <c r="E398" i="2"/>
  <c r="E372" i="2"/>
  <c r="E4" i="2"/>
  <c r="E135" i="2"/>
  <c r="E162" i="2"/>
  <c r="E134" i="2"/>
  <c r="E34" i="2"/>
  <c r="E381" i="2"/>
  <c r="E251" i="2"/>
  <c r="E256" i="2"/>
  <c r="E36" i="2"/>
  <c r="E23" i="2"/>
  <c r="E363" i="2"/>
  <c r="E144" i="2"/>
  <c r="E210" i="2"/>
  <c r="E223" i="2"/>
  <c r="E336" i="2"/>
  <c r="E50" i="2"/>
  <c r="E110" i="2"/>
  <c r="E354" i="2"/>
  <c r="E6" i="2"/>
  <c r="E65" i="2"/>
  <c r="E374" i="2"/>
  <c r="E91" i="2"/>
  <c r="E302" i="2"/>
  <c r="E194" i="2"/>
  <c r="E79" i="2"/>
  <c r="E410" i="2"/>
  <c r="E28" i="2"/>
  <c r="E377" i="2"/>
  <c r="E64" i="2"/>
  <c r="E344" i="2"/>
  <c r="E25" i="2"/>
  <c r="E340" i="2"/>
  <c r="E286" i="2"/>
  <c r="E186" i="2"/>
  <c r="E21" i="2"/>
  <c r="E20" i="2"/>
  <c r="E271" i="2"/>
  <c r="E66" i="2"/>
  <c r="E315" i="2"/>
  <c r="E396" i="2"/>
  <c r="E214" i="2"/>
  <c r="E101" i="2"/>
  <c r="E190" i="2"/>
  <c r="E349" i="2"/>
  <c r="E318" i="2"/>
  <c r="E128" i="2"/>
  <c r="E133" i="2"/>
  <c r="E138" i="2"/>
  <c r="E391" i="2"/>
  <c r="E347" i="2"/>
  <c r="E181" i="2"/>
  <c r="E388" i="2"/>
  <c r="E295" i="2"/>
  <c r="E325" i="2"/>
  <c r="E316" i="2"/>
  <c r="E362" i="2"/>
  <c r="E191" i="2"/>
  <c r="E44" i="2"/>
  <c r="E183" i="2"/>
  <c r="E376" i="2"/>
  <c r="E343" i="2"/>
  <c r="E170" i="2"/>
  <c r="E230" i="2"/>
  <c r="E272" i="2"/>
  <c r="E56" i="2"/>
  <c r="E108" i="2"/>
  <c r="E83" i="2"/>
  <c r="E24" i="2"/>
  <c r="E189" i="2"/>
  <c r="E153" i="2"/>
  <c r="E97" i="2"/>
  <c r="E171" i="2"/>
  <c r="E281" i="2"/>
  <c r="E290" i="2"/>
  <c r="E149" i="2"/>
  <c r="E215" i="2"/>
  <c r="E19" i="2"/>
  <c r="E152" i="2"/>
  <c r="E242" i="2"/>
  <c r="E231" i="2"/>
  <c r="E406" i="2"/>
  <c r="E303" i="2"/>
  <c r="E378" i="2"/>
  <c r="E126" i="2"/>
  <c r="E156" i="2"/>
  <c r="E317" i="2"/>
  <c r="E232" i="2"/>
  <c r="E219" i="2"/>
  <c r="E69" i="2"/>
  <c r="E173" i="2"/>
  <c r="E137" i="2"/>
  <c r="E309" i="2"/>
  <c r="E359" i="2"/>
  <c r="E311" i="2"/>
  <c r="E207" i="2"/>
  <c r="E373" i="2"/>
  <c r="E222" i="2"/>
  <c r="E140" i="2"/>
  <c r="E261" i="2"/>
  <c r="E218" i="2"/>
  <c r="E67" i="2"/>
  <c r="E5" i="2"/>
  <c r="E366" i="2"/>
  <c r="E45" i="2"/>
  <c r="E248" i="2"/>
  <c r="E109" i="2"/>
  <c r="E337" i="2"/>
  <c r="E298" i="2"/>
  <c r="E345" i="2"/>
  <c r="E264" i="2"/>
  <c r="E353" i="2"/>
  <c r="E361" i="2"/>
  <c r="E283" i="2"/>
  <c r="E185" i="2"/>
  <c r="E203" i="2"/>
  <c r="E263" i="2"/>
  <c r="E282" i="2"/>
  <c r="E382" i="2"/>
  <c r="E257" i="2"/>
  <c r="E160" i="2"/>
  <c r="E402" i="2"/>
  <c r="E289" i="2"/>
  <c r="E355" i="2"/>
  <c r="E416" i="2"/>
  <c r="E239" i="2"/>
  <c r="E71" i="2"/>
  <c r="E180" i="2"/>
  <c r="E415" i="2"/>
  <c r="E267" i="2"/>
  <c r="E384" i="2"/>
  <c r="E334" i="2"/>
  <c r="E88" i="2"/>
  <c r="E187" i="2"/>
  <c r="E371" i="2"/>
  <c r="E238" i="2"/>
  <c r="E276" i="2"/>
  <c r="E92" i="2"/>
  <c r="E198" i="2"/>
  <c r="E13" i="2"/>
  <c r="E114" i="2"/>
  <c r="E252" i="2"/>
  <c r="E324" i="2"/>
  <c r="E46" i="2"/>
  <c r="E310" i="2"/>
  <c r="E250" i="2"/>
  <c r="E301" i="2"/>
  <c r="E54" i="2"/>
  <c r="E7" i="2"/>
  <c r="E299" i="2"/>
  <c r="E358" i="2"/>
  <c r="E38" i="2"/>
  <c r="E206" i="2"/>
  <c r="E209" i="2"/>
  <c r="E274" i="2"/>
  <c r="E76" i="2"/>
  <c r="E10" i="2"/>
  <c r="E87" i="2"/>
  <c r="E306" i="2"/>
  <c r="E278" i="2"/>
  <c r="E246" i="2"/>
  <c r="E266" i="2"/>
  <c r="E385" i="2"/>
  <c r="E399" i="2"/>
  <c r="E174" i="2"/>
  <c r="E122" i="2"/>
  <c r="E225" i="2"/>
  <c r="E58" i="2"/>
  <c r="E395" i="2"/>
  <c r="E356" i="2"/>
  <c r="E247" i="2"/>
  <c r="E75" i="2"/>
  <c r="E175" i="2"/>
  <c r="E221" i="2"/>
  <c r="E326" i="2"/>
  <c r="E312" i="2"/>
  <c r="E235" i="2"/>
  <c r="E127" i="2"/>
  <c r="E321" i="2"/>
  <c r="E78" i="2"/>
  <c r="E178" i="2"/>
  <c r="E53" i="2"/>
  <c r="E136" i="2"/>
  <c r="E168" i="2"/>
  <c r="E116" i="2"/>
  <c r="E341" i="2"/>
  <c r="E16" i="2"/>
  <c r="E307" i="2"/>
  <c r="E166" i="2"/>
  <c r="E200" i="2"/>
  <c r="E331" i="2"/>
  <c r="E99" i="2"/>
  <c r="E52" i="2"/>
  <c r="E95" i="2"/>
  <c r="E245" i="2"/>
  <c r="E61" i="2"/>
  <c r="E164" i="2"/>
  <c r="E348" i="2"/>
  <c r="E51" i="2"/>
  <c r="E47" i="2"/>
  <c r="E150" i="2"/>
  <c r="E202" i="2"/>
  <c r="E255" i="2"/>
  <c r="E39" i="2"/>
  <c r="E179" i="2"/>
  <c r="E22" i="2"/>
  <c r="E292" i="2"/>
  <c r="E234" i="2"/>
  <c r="E107" i="2"/>
  <c r="E320" i="2"/>
  <c r="E237" i="2"/>
  <c r="E211" i="2"/>
  <c r="E199" i="2"/>
  <c r="E351" i="2"/>
  <c r="E262" i="2"/>
  <c r="E273" i="2"/>
  <c r="E386" i="2"/>
  <c r="E120" i="2"/>
  <c r="E392" i="2"/>
  <c r="E93" i="2"/>
  <c r="E32" i="2"/>
  <c r="E11" i="2"/>
  <c r="E43" i="2"/>
  <c r="E243" i="2"/>
  <c r="E330" i="2"/>
  <c r="E161" i="2"/>
  <c r="E49" i="2"/>
  <c r="E82" i="2"/>
  <c r="E154" i="2"/>
  <c r="E81" i="2"/>
  <c r="E417" i="2"/>
  <c r="E17" i="2"/>
  <c r="E15" i="2"/>
  <c r="E220" i="2"/>
  <c r="E80" i="2"/>
  <c r="E30" i="2"/>
  <c r="E40" i="2"/>
  <c r="E192" i="2"/>
  <c r="E119" i="2"/>
  <c r="E254" i="2"/>
  <c r="E379" i="2"/>
  <c r="E319" i="2"/>
  <c r="E275" i="2"/>
  <c r="E227" i="2"/>
  <c r="E57" i="2"/>
  <c r="E285" i="2"/>
  <c r="E184" i="2"/>
  <c r="E357" i="2"/>
  <c r="E121" i="2"/>
  <c r="E163" i="2"/>
  <c r="E70" i="2"/>
  <c r="E413" i="2"/>
  <c r="E117" i="2"/>
  <c r="E106" i="2"/>
  <c r="E165" i="2"/>
  <c r="E269" i="2"/>
  <c r="E368" i="2"/>
  <c r="E123" i="2"/>
  <c r="E260" i="2"/>
  <c r="E401" i="2"/>
  <c r="E2" i="2"/>
  <c r="E204" i="2"/>
  <c r="E167" i="2"/>
  <c r="E328" i="2"/>
  <c r="E195" i="2"/>
  <c r="E145" i="2"/>
  <c r="E77" i="2"/>
  <c r="E176" i="2"/>
  <c r="E157" i="2"/>
  <c r="E350" i="2"/>
  <c r="E208" i="2"/>
  <c r="E394" i="2"/>
  <c r="E147" i="2"/>
  <c r="E73" i="2"/>
  <c r="E240" i="2"/>
  <c r="E33" i="2"/>
  <c r="E143" i="2"/>
  <c r="E313" i="2"/>
  <c r="E279" i="2"/>
  <c r="E112" i="2"/>
  <c r="E329" i="2"/>
  <c r="E409" i="2"/>
  <c r="E270" i="2"/>
  <c r="E29" i="2"/>
  <c r="E158" i="2"/>
  <c r="E14" i="2"/>
  <c r="E177" i="2"/>
  <c r="E59" i="2"/>
  <c r="E259" i="2"/>
  <c r="B8" i="25"/>
  <c r="B7" i="25"/>
  <c r="B6" i="25"/>
  <c r="B5" i="25"/>
  <c r="B4" i="25"/>
  <c r="B3" i="25"/>
  <c r="M8" i="15"/>
  <c r="M8" i="17"/>
  <c r="M8" i="18"/>
  <c r="M8" i="19"/>
  <c r="M8" i="23"/>
  <c r="M8" i="22"/>
  <c r="M8" i="24"/>
  <c r="F21" i="24"/>
  <c r="E21" i="24"/>
  <c r="F20" i="24"/>
  <c r="E20" i="24"/>
  <c r="F25" i="24"/>
  <c r="E25" i="24"/>
  <c r="F31" i="24"/>
  <c r="E31" i="24"/>
  <c r="F22" i="24"/>
  <c r="E22" i="24"/>
  <c r="E30" i="24"/>
  <c r="F23" i="24"/>
  <c r="E23" i="24"/>
  <c r="F29" i="24"/>
  <c r="E29" i="24"/>
  <c r="F24" i="24"/>
  <c r="E24" i="24"/>
  <c r="F26" i="24"/>
  <c r="E26" i="24"/>
  <c r="F28" i="24"/>
  <c r="E28" i="24"/>
  <c r="F27" i="24"/>
  <c r="E27" i="24"/>
  <c r="F19" i="24"/>
  <c r="E19" i="24"/>
  <c r="F15" i="24"/>
  <c r="E15" i="24"/>
  <c r="F14" i="24"/>
  <c r="E14" i="24"/>
  <c r="F18" i="24"/>
  <c r="E18" i="24"/>
  <c r="F17" i="24"/>
  <c r="E17" i="24"/>
  <c r="F16" i="24"/>
  <c r="E16" i="24"/>
  <c r="F13" i="24"/>
  <c r="E13" i="24"/>
  <c r="F12" i="24"/>
  <c r="E12" i="24"/>
  <c r="F8" i="24"/>
  <c r="E8" i="24"/>
  <c r="F11" i="24"/>
  <c r="E11" i="24"/>
  <c r="F2" i="24"/>
  <c r="E2" i="24"/>
  <c r="F5" i="24"/>
  <c r="E5" i="24"/>
  <c r="M7" i="24"/>
  <c r="F7" i="24"/>
  <c r="E7" i="24"/>
  <c r="M6" i="24"/>
  <c r="F4" i="24"/>
  <c r="E4" i="24"/>
  <c r="F9" i="24"/>
  <c r="E9" i="24"/>
  <c r="F10" i="24"/>
  <c r="E10" i="24"/>
  <c r="F6" i="24"/>
  <c r="E6" i="24"/>
  <c r="F3" i="24"/>
  <c r="E3" i="24"/>
  <c r="M7" i="23"/>
  <c r="M6" i="23"/>
  <c r="F22" i="23"/>
  <c r="E22" i="23"/>
  <c r="F19" i="23"/>
  <c r="E19" i="23"/>
  <c r="F21" i="23"/>
  <c r="E21" i="23"/>
  <c r="F20" i="23"/>
  <c r="E20" i="23"/>
  <c r="F26" i="23"/>
  <c r="E26" i="23"/>
  <c r="E25" i="23"/>
  <c r="F27" i="23"/>
  <c r="E27" i="23"/>
  <c r="F23" i="23"/>
  <c r="E23" i="23"/>
  <c r="F31" i="23"/>
  <c r="E31" i="23"/>
  <c r="F28" i="23"/>
  <c r="E28" i="23"/>
  <c r="F30" i="23"/>
  <c r="E30" i="23"/>
  <c r="F29" i="23"/>
  <c r="E29" i="23"/>
  <c r="F24" i="23"/>
  <c r="E24" i="23"/>
  <c r="F14" i="23"/>
  <c r="E14" i="23"/>
  <c r="F15" i="23"/>
  <c r="E15" i="23"/>
  <c r="F13" i="23"/>
  <c r="E13" i="23"/>
  <c r="F12" i="23"/>
  <c r="E12" i="23"/>
  <c r="F16" i="23"/>
  <c r="E16" i="23"/>
  <c r="F17" i="23"/>
  <c r="E17" i="23"/>
  <c r="F18" i="23"/>
  <c r="E18" i="23"/>
  <c r="F2" i="23"/>
  <c r="E2" i="23"/>
  <c r="F3" i="23"/>
  <c r="E3" i="23"/>
  <c r="F4" i="23"/>
  <c r="E4" i="23"/>
  <c r="F11" i="23"/>
  <c r="E11" i="23"/>
  <c r="F6" i="23"/>
  <c r="E6" i="23"/>
  <c r="F8" i="23"/>
  <c r="E8" i="23"/>
  <c r="F10" i="23"/>
  <c r="E10" i="23"/>
  <c r="F9" i="23"/>
  <c r="E9" i="23"/>
  <c r="F7" i="23"/>
  <c r="E7" i="23"/>
  <c r="F5" i="23"/>
  <c r="E5" i="23"/>
  <c r="M7" i="22"/>
  <c r="M6" i="22"/>
  <c r="F28" i="22"/>
  <c r="E28" i="22"/>
  <c r="E26" i="22"/>
  <c r="F24" i="22"/>
  <c r="E24" i="22"/>
  <c r="F21" i="22"/>
  <c r="E21" i="22"/>
  <c r="F20" i="22"/>
  <c r="E20" i="22"/>
  <c r="F22" i="22"/>
  <c r="E22" i="22"/>
  <c r="F29" i="22"/>
  <c r="E29" i="22"/>
  <c r="F23" i="22"/>
  <c r="E23" i="22"/>
  <c r="F25" i="22"/>
  <c r="E25" i="22"/>
  <c r="F27" i="22"/>
  <c r="E27" i="22"/>
  <c r="F31" i="22"/>
  <c r="E31" i="22"/>
  <c r="F30" i="22"/>
  <c r="E30" i="22"/>
  <c r="F19" i="22"/>
  <c r="E19" i="22"/>
  <c r="F16" i="22"/>
  <c r="E16" i="22"/>
  <c r="F15" i="22"/>
  <c r="E15" i="22"/>
  <c r="F14" i="22"/>
  <c r="E14" i="22"/>
  <c r="F18" i="22"/>
  <c r="E18" i="22"/>
  <c r="F17" i="22"/>
  <c r="E17" i="22"/>
  <c r="F13" i="22"/>
  <c r="E13" i="22"/>
  <c r="F12" i="22"/>
  <c r="E12" i="22"/>
  <c r="F10" i="22"/>
  <c r="E10" i="22"/>
  <c r="F4" i="22"/>
  <c r="E4" i="22"/>
  <c r="F5" i="22"/>
  <c r="E5" i="22"/>
  <c r="F11" i="22"/>
  <c r="E11" i="22"/>
  <c r="F7" i="22"/>
  <c r="E7" i="22"/>
  <c r="F3" i="22"/>
  <c r="E3" i="22"/>
  <c r="F8" i="22"/>
  <c r="E8" i="22"/>
  <c r="F6" i="22"/>
  <c r="E6" i="22"/>
  <c r="F2" i="22"/>
  <c r="E2" i="22"/>
  <c r="F9" i="22"/>
  <c r="E9" i="22"/>
  <c r="F24" i="19"/>
  <c r="E24" i="19"/>
  <c r="F5" i="19"/>
  <c r="E5" i="19"/>
  <c r="F28" i="19"/>
  <c r="E28" i="19"/>
  <c r="F27" i="19"/>
  <c r="E27" i="19"/>
  <c r="F26" i="19"/>
  <c r="E26" i="19"/>
  <c r="F9" i="19"/>
  <c r="E9" i="19"/>
  <c r="F23" i="19"/>
  <c r="E23" i="19"/>
  <c r="F22" i="19"/>
  <c r="E22" i="19"/>
  <c r="F10" i="19"/>
  <c r="E10" i="19"/>
  <c r="F4" i="19"/>
  <c r="E4" i="19"/>
  <c r="F6" i="19"/>
  <c r="E6" i="19"/>
  <c r="F7" i="19"/>
  <c r="E7" i="19"/>
  <c r="F12" i="19"/>
  <c r="E12" i="19"/>
  <c r="F3" i="19"/>
  <c r="E3" i="19"/>
  <c r="E30" i="19"/>
  <c r="F19" i="19"/>
  <c r="E19" i="19"/>
  <c r="F29" i="19"/>
  <c r="E29" i="19"/>
  <c r="F13" i="19"/>
  <c r="E13" i="19"/>
  <c r="F2" i="19"/>
  <c r="E2" i="19"/>
  <c r="F11" i="19"/>
  <c r="E11" i="19"/>
  <c r="F16" i="19"/>
  <c r="E16" i="19"/>
  <c r="F14" i="19"/>
  <c r="E14" i="19"/>
  <c r="F15" i="19"/>
  <c r="E15" i="19"/>
  <c r="F21" i="19"/>
  <c r="E21" i="19"/>
  <c r="M7" i="19"/>
  <c r="F25" i="19"/>
  <c r="E25" i="19"/>
  <c r="M6" i="19"/>
  <c r="F18" i="19"/>
  <c r="E18" i="19"/>
  <c r="F8" i="19"/>
  <c r="E8" i="19"/>
  <c r="F31" i="19"/>
  <c r="E31" i="19"/>
  <c r="F17" i="19"/>
  <c r="E17" i="19"/>
  <c r="F20" i="19"/>
  <c r="E20" i="19"/>
  <c r="M6" i="15"/>
  <c r="M6" i="17"/>
  <c r="M6" i="18"/>
  <c r="F5" i="18"/>
  <c r="E5" i="18"/>
  <c r="F9" i="18"/>
  <c r="E9" i="18"/>
  <c r="F10" i="18"/>
  <c r="E10" i="18"/>
  <c r="F6" i="18"/>
  <c r="E6" i="18"/>
  <c r="F3" i="18"/>
  <c r="E3" i="18"/>
  <c r="F12" i="18"/>
  <c r="E12" i="18"/>
  <c r="F8" i="18"/>
  <c r="E8" i="18"/>
  <c r="F13" i="18"/>
  <c r="E13" i="18"/>
  <c r="F2" i="18"/>
  <c r="E2" i="18"/>
  <c r="F7" i="18"/>
  <c r="E7" i="18"/>
  <c r="F11" i="18"/>
  <c r="E11" i="18"/>
  <c r="F30" i="18"/>
  <c r="E30" i="18"/>
  <c r="F20" i="18"/>
  <c r="E20" i="18"/>
  <c r="F14" i="18"/>
  <c r="E14" i="18"/>
  <c r="F4" i="18"/>
  <c r="E4" i="18"/>
  <c r="F19" i="18"/>
  <c r="E19" i="18"/>
  <c r="F22" i="18"/>
  <c r="E22" i="18"/>
  <c r="F24" i="18"/>
  <c r="E24" i="18"/>
  <c r="F26" i="18"/>
  <c r="E26" i="18"/>
  <c r="E17" i="18"/>
  <c r="F23" i="18"/>
  <c r="E23" i="18"/>
  <c r="F25" i="18"/>
  <c r="E25" i="18"/>
  <c r="F15" i="18"/>
  <c r="E15" i="18"/>
  <c r="F31" i="18"/>
  <c r="E31" i="18"/>
  <c r="M7" i="18"/>
  <c r="F21" i="18"/>
  <c r="E21" i="18"/>
  <c r="F27" i="18"/>
  <c r="E27" i="18"/>
  <c r="F29" i="18"/>
  <c r="E29" i="18"/>
  <c r="F28" i="18"/>
  <c r="E28" i="18"/>
  <c r="F18" i="18"/>
  <c r="E18" i="18"/>
  <c r="F16" i="18"/>
  <c r="E16" i="18"/>
  <c r="F18" i="17"/>
  <c r="E18" i="17"/>
  <c r="F26" i="17"/>
  <c r="E26" i="17"/>
  <c r="F15" i="17"/>
  <c r="E15" i="17"/>
  <c r="F14" i="17"/>
  <c r="E14" i="17"/>
  <c r="F19" i="17"/>
  <c r="E19" i="17"/>
  <c r="F24" i="17"/>
  <c r="E24" i="17"/>
  <c r="E12" i="17"/>
  <c r="F20" i="17"/>
  <c r="E20" i="17"/>
  <c r="F16" i="17"/>
  <c r="E16" i="17"/>
  <c r="F13" i="17"/>
  <c r="E13" i="17"/>
  <c r="F11" i="17"/>
  <c r="E11" i="17"/>
  <c r="F23" i="17"/>
  <c r="E23" i="17"/>
  <c r="F29" i="17"/>
  <c r="E29" i="17"/>
  <c r="F3" i="17"/>
  <c r="E3" i="17"/>
  <c r="F4" i="17"/>
  <c r="E4" i="17"/>
  <c r="F5" i="17"/>
  <c r="E5" i="17"/>
  <c r="F17" i="17"/>
  <c r="E17" i="17"/>
  <c r="F22" i="17"/>
  <c r="E22" i="17"/>
  <c r="F28" i="17"/>
  <c r="E28" i="17"/>
  <c r="F25" i="17"/>
  <c r="E25" i="17"/>
  <c r="F27" i="17"/>
  <c r="E27" i="17"/>
  <c r="F8" i="17"/>
  <c r="E8" i="17"/>
  <c r="F10" i="17"/>
  <c r="E10" i="17"/>
  <c r="F6" i="17"/>
  <c r="E6" i="17"/>
  <c r="M7" i="17"/>
  <c r="F31" i="17"/>
  <c r="E31" i="17"/>
  <c r="F30" i="17"/>
  <c r="E30" i="17"/>
  <c r="F21" i="17"/>
  <c r="E21" i="17"/>
  <c r="F9" i="17"/>
  <c r="E9" i="17"/>
  <c r="F2" i="17"/>
  <c r="E2" i="17"/>
  <c r="F7" i="17"/>
  <c r="E7" i="17"/>
  <c r="F15" i="15"/>
  <c r="F3" i="15"/>
  <c r="F4" i="15"/>
  <c r="F5" i="15"/>
  <c r="F6" i="15"/>
  <c r="F7" i="15"/>
  <c r="F8" i="15"/>
  <c r="F9" i="15"/>
  <c r="F10" i="15"/>
  <c r="F11" i="15"/>
  <c r="F12" i="15"/>
  <c r="F13" i="15"/>
  <c r="F14" i="15"/>
  <c r="F16" i="15"/>
  <c r="F17" i="15"/>
  <c r="F18" i="15"/>
  <c r="F19" i="15"/>
  <c r="F20" i="15"/>
  <c r="F21" i="15"/>
  <c r="F22" i="15"/>
  <c r="F23" i="15"/>
  <c r="F24" i="15"/>
  <c r="F26" i="15"/>
  <c r="F27" i="15"/>
  <c r="F28" i="15"/>
  <c r="F29" i="15"/>
  <c r="F30" i="15"/>
  <c r="F31" i="15"/>
  <c r="F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2" i="15"/>
  <c r="M7" i="15"/>
  <c r="M11" i="26" l="1" a="1"/>
  <c r="M11" i="26" s="1"/>
  <c r="J67" i="2"/>
  <c r="K67" i="2" s="1"/>
  <c r="J12" i="2"/>
  <c r="K12" i="2" s="1"/>
  <c r="J63" i="2"/>
  <c r="K63" i="2" s="1"/>
  <c r="J4" i="2"/>
  <c r="K4" i="2" s="1"/>
  <c r="J360" i="2"/>
  <c r="K360" i="2" s="1"/>
  <c r="J309" i="2"/>
  <c r="K309" i="2" s="1"/>
  <c r="J164" i="2"/>
  <c r="K164" i="2" s="1"/>
  <c r="J132" i="2"/>
  <c r="K132" i="2" s="1"/>
  <c r="J355" i="2"/>
  <c r="K355" i="2" s="1"/>
  <c r="J414" i="2"/>
  <c r="K414" i="2" s="1"/>
  <c r="J417" i="2"/>
  <c r="K417" i="2" s="1"/>
  <c r="J182" i="2"/>
  <c r="K182" i="2" s="1"/>
  <c r="J178" i="2"/>
  <c r="K178" i="2" s="1"/>
  <c r="J358" i="2"/>
  <c r="K358" i="2" s="1"/>
  <c r="J369" i="2"/>
  <c r="K369" i="2" s="1"/>
  <c r="J121" i="2"/>
  <c r="K121" i="2" s="1"/>
  <c r="J78" i="2"/>
  <c r="K78" i="2" s="1"/>
  <c r="J258" i="2"/>
  <c r="K258" i="2" s="1"/>
  <c r="J234" i="2"/>
  <c r="K234" i="2" s="1"/>
  <c r="J308" i="2"/>
  <c r="K308" i="2" s="1"/>
  <c r="J367" i="2"/>
  <c r="K367" i="2" s="1"/>
  <c r="J146" i="2"/>
  <c r="K146" i="2" s="1"/>
  <c r="J93" i="2"/>
  <c r="K93" i="2" s="1"/>
  <c r="J227" i="2"/>
  <c r="K227" i="2" s="1"/>
  <c r="J235" i="2"/>
  <c r="K235" i="2" s="1"/>
  <c r="J323" i="2"/>
  <c r="K323" i="2" s="1"/>
  <c r="J204" i="2"/>
  <c r="K204" i="2" s="1"/>
  <c r="J303" i="2"/>
  <c r="K303" i="2" s="1"/>
  <c r="J105" i="2"/>
  <c r="K105" i="2" s="1"/>
  <c r="J187" i="2"/>
  <c r="K187" i="2" s="1"/>
  <c r="J288" i="2"/>
  <c r="K288" i="2" s="1"/>
  <c r="J312" i="2"/>
  <c r="K312" i="2" s="1"/>
  <c r="J184" i="2"/>
  <c r="K184" i="2" s="1"/>
  <c r="J131" i="2"/>
  <c r="K131" i="2" s="1"/>
  <c r="J322" i="2"/>
  <c r="K322" i="2" s="1"/>
  <c r="J326" i="2"/>
  <c r="K326" i="2" s="1"/>
  <c r="J122" i="2"/>
  <c r="K122" i="2" s="1"/>
  <c r="J126" i="2"/>
  <c r="K126" i="2" s="1"/>
  <c r="J113" i="2"/>
  <c r="K113" i="2" s="1"/>
  <c r="J111" i="2"/>
  <c r="K111" i="2" s="1"/>
  <c r="J141" i="2"/>
  <c r="K141" i="2" s="1"/>
  <c r="J316" i="2"/>
  <c r="K316" i="2" s="1"/>
  <c r="J215" i="2"/>
  <c r="K215" i="2" s="1"/>
  <c r="J72" i="2"/>
  <c r="K72" i="2" s="1"/>
  <c r="J48" i="2"/>
  <c r="K48" i="2" s="1"/>
  <c r="J328" i="2"/>
  <c r="K328" i="2" s="1"/>
  <c r="J92" i="2"/>
  <c r="K92" i="2" s="1"/>
  <c r="J145" i="2"/>
  <c r="K145" i="2" s="1"/>
  <c r="J265" i="2"/>
  <c r="K265" i="2" s="1"/>
  <c r="J24" i="2"/>
  <c r="K24" i="2" s="1"/>
  <c r="J19" i="2"/>
  <c r="K19" i="2" s="1"/>
  <c r="J9" i="2"/>
  <c r="K9" i="2" s="1"/>
  <c r="J217" i="2"/>
  <c r="K217" i="2" s="1"/>
  <c r="J307" i="2"/>
  <c r="K307" i="2" s="1"/>
  <c r="J413" i="2"/>
  <c r="K413" i="2" s="1"/>
  <c r="J70" i="2"/>
  <c r="K70" i="2" s="1"/>
  <c r="J363" i="2"/>
  <c r="K363" i="2" s="1"/>
  <c r="J388" i="2"/>
  <c r="K388" i="2" s="1"/>
  <c r="J44" i="2"/>
  <c r="K44" i="2" s="1"/>
  <c r="J52" i="2"/>
  <c r="K52" i="2" s="1"/>
  <c r="J16" i="2"/>
  <c r="K16" i="2" s="1"/>
  <c r="J170" i="2"/>
  <c r="K170" i="2" s="1"/>
  <c r="J179" i="2"/>
  <c r="K179" i="2" s="1"/>
  <c r="J103" i="2"/>
  <c r="K103" i="2" s="1"/>
  <c r="J166" i="2"/>
  <c r="K166" i="2" s="1"/>
  <c r="J94" i="2"/>
  <c r="K94" i="2" s="1"/>
  <c r="J257" i="2"/>
  <c r="K257" i="2" s="1"/>
  <c r="J43" i="2"/>
  <c r="K43" i="2" s="1"/>
  <c r="J54" i="2"/>
  <c r="K54" i="2" s="1"/>
  <c r="J2" i="2"/>
  <c r="K2" i="2" s="1"/>
  <c r="J353" i="2"/>
  <c r="K353" i="2" s="1"/>
  <c r="J233" i="2"/>
  <c r="K233" i="2" s="1"/>
  <c r="J98" i="2"/>
  <c r="K98" i="2" s="1"/>
  <c r="J109" i="2"/>
  <c r="K109" i="2" s="1"/>
  <c r="J165" i="2"/>
  <c r="K165" i="2" s="1"/>
  <c r="J91" i="2"/>
  <c r="K91" i="2" s="1"/>
  <c r="J76" i="2"/>
  <c r="K76" i="2" s="1"/>
  <c r="J174" i="2"/>
  <c r="K174" i="2" s="1"/>
  <c r="J183" i="2"/>
  <c r="K183" i="2" s="1"/>
  <c r="J240" i="2"/>
  <c r="K240" i="2" s="1"/>
  <c r="J405" i="2"/>
  <c r="K405" i="2" s="1"/>
  <c r="J185" i="2"/>
  <c r="K185" i="2" s="1"/>
  <c r="J385" i="2"/>
  <c r="K385" i="2" s="1"/>
  <c r="J21" i="2"/>
  <c r="K21" i="2" s="1"/>
  <c r="J410" i="2"/>
  <c r="K410" i="2" s="1"/>
  <c r="J401" i="2"/>
  <c r="K401" i="2" s="1"/>
  <c r="J412" i="2"/>
  <c r="K412" i="2" s="1"/>
  <c r="J293" i="2"/>
  <c r="K293" i="2" s="1"/>
  <c r="J84" i="2"/>
  <c r="K84" i="2" s="1"/>
  <c r="J415" i="2"/>
  <c r="K415" i="2" s="1"/>
  <c r="J416" i="2"/>
  <c r="K416" i="2" s="1"/>
  <c r="J334" i="2"/>
  <c r="K334" i="2" s="1"/>
  <c r="J169" i="2"/>
  <c r="K169" i="2" s="1"/>
  <c r="J245" i="2"/>
  <c r="K245" i="2" s="1"/>
  <c r="J380" i="2"/>
  <c r="K380" i="2" s="1"/>
  <c r="J211" i="2"/>
  <c r="K211" i="2" s="1"/>
  <c r="J311" i="2"/>
  <c r="K311" i="2" s="1"/>
  <c r="J162" i="2"/>
  <c r="K162" i="2" s="1"/>
  <c r="J59" i="2"/>
  <c r="K59" i="2" s="1"/>
  <c r="J138" i="2"/>
  <c r="K138" i="2" s="1"/>
  <c r="J155" i="2"/>
  <c r="K155" i="2" s="1"/>
  <c r="J82" i="2"/>
  <c r="K82" i="2" s="1"/>
  <c r="J151" i="2"/>
  <c r="K151" i="2" s="1"/>
  <c r="J280" i="2"/>
  <c r="K280" i="2" s="1"/>
  <c r="J176" i="2"/>
  <c r="K176" i="2" s="1"/>
  <c r="J304" i="2"/>
  <c r="J224" i="2"/>
  <c r="K224" i="2" s="1"/>
  <c r="J57" i="2"/>
  <c r="K57" i="2" s="1"/>
  <c r="J198" i="2"/>
  <c r="K198" i="2" s="1"/>
  <c r="J99" i="2"/>
  <c r="K99" i="2" s="1"/>
  <c r="J378" i="2"/>
  <c r="K378" i="2" s="1"/>
  <c r="J315" i="2"/>
  <c r="K315" i="2" s="1"/>
  <c r="J259" i="2"/>
  <c r="K259" i="2" s="1"/>
  <c r="J107" i="2"/>
  <c r="K107" i="2" s="1"/>
  <c r="J371" i="2"/>
  <c r="K371" i="2" s="1"/>
  <c r="J375" i="2"/>
  <c r="K375" i="2" s="1"/>
  <c r="J208" i="2"/>
  <c r="K208" i="2" s="1"/>
  <c r="J139" i="2"/>
  <c r="K139" i="2" s="1"/>
  <c r="J302" i="2"/>
  <c r="K302" i="2" s="1"/>
  <c r="J225" i="2"/>
  <c r="K225" i="2" s="1"/>
  <c r="J194" i="2"/>
  <c r="K194" i="2" s="1"/>
  <c r="J372" i="2"/>
  <c r="K372" i="2" s="1"/>
  <c r="J47" i="2"/>
  <c r="K47" i="2" s="1"/>
  <c r="J210" i="2"/>
  <c r="K210" i="2" s="1"/>
  <c r="J60" i="2"/>
  <c r="K60" i="2" s="1"/>
  <c r="J61" i="2"/>
  <c r="K61" i="2" s="1"/>
  <c r="J142" i="2"/>
  <c r="K142" i="2" s="1"/>
  <c r="J246" i="2"/>
  <c r="K246" i="2" s="1"/>
  <c r="J290" i="2"/>
  <c r="K290" i="2" s="1"/>
  <c r="J286" i="2"/>
  <c r="K286" i="2" s="1"/>
  <c r="J117" i="2"/>
  <c r="K117" i="2" s="1"/>
  <c r="J273" i="2"/>
  <c r="K273" i="2" s="1"/>
  <c r="J33" i="2"/>
  <c r="K33" i="2" s="1"/>
  <c r="J247" i="2"/>
  <c r="K247" i="2" s="1"/>
  <c r="J32" i="2"/>
  <c r="K32" i="2" s="1"/>
  <c r="J77" i="2"/>
  <c r="K77" i="2" s="1"/>
  <c r="J3" i="2"/>
  <c r="K3" i="2" s="1"/>
  <c r="J226" i="2"/>
  <c r="K226" i="2" s="1"/>
  <c r="J153" i="2"/>
  <c r="K153" i="2" s="1"/>
  <c r="J23" i="2"/>
  <c r="K23" i="2" s="1"/>
  <c r="J13" i="2"/>
  <c r="K13" i="2" s="1"/>
  <c r="J223" i="2"/>
  <c r="K223" i="2" s="1"/>
  <c r="J188" i="2"/>
  <c r="K188" i="2" s="1"/>
  <c r="J35" i="2"/>
  <c r="K35" i="2" s="1"/>
  <c r="J237" i="2"/>
  <c r="K237" i="2" s="1"/>
  <c r="J392" i="2"/>
  <c r="K392" i="2" s="1"/>
  <c r="J314" i="2"/>
  <c r="K314" i="2" s="1"/>
  <c r="J346" i="2"/>
  <c r="K346" i="2" s="1"/>
  <c r="J116" i="2"/>
  <c r="K116" i="2" s="1"/>
  <c r="J291" i="2"/>
  <c r="K291" i="2" s="1"/>
  <c r="J294" i="2"/>
  <c r="K294" i="2" s="1"/>
  <c r="J284" i="2"/>
  <c r="K284" i="2" s="1"/>
  <c r="J213" i="2"/>
  <c r="K213" i="2" s="1"/>
  <c r="J6" i="2"/>
  <c r="K6" i="2" s="1"/>
  <c r="K79" i="2"/>
  <c r="K214" i="2"/>
  <c r="K343" i="2"/>
  <c r="K370" i="2"/>
  <c r="K104" i="2"/>
  <c r="K351" i="2"/>
  <c r="K106" i="2"/>
  <c r="K189" i="2"/>
  <c r="K161" i="2"/>
  <c r="K14" i="2"/>
  <c r="K382" i="2"/>
  <c r="T38" i="2"/>
  <c r="T37" i="2"/>
  <c r="T26" i="2"/>
  <c r="T27" i="2"/>
  <c r="H261" i="2"/>
  <c r="H256" i="2"/>
  <c r="J256" i="2" s="1"/>
  <c r="K256" i="2" s="1"/>
  <c r="H250" i="2"/>
  <c r="H160" i="2"/>
  <c r="H377" i="2"/>
  <c r="J377" i="2" s="1"/>
  <c r="H50" i="2"/>
  <c r="H317" i="2"/>
  <c r="H219" i="2"/>
  <c r="H395" i="2"/>
  <c r="H100" i="2"/>
  <c r="H352" i="2"/>
  <c r="H197" i="2"/>
  <c r="J197" i="2" s="1"/>
  <c r="K197" i="2" s="1"/>
  <c r="H114" i="2"/>
  <c r="J114" i="2" s="1"/>
  <c r="K114" i="2" s="1"/>
  <c r="H391" i="2"/>
  <c r="J391" i="2" s="1"/>
  <c r="K391" i="2" s="1"/>
  <c r="H158" i="2"/>
  <c r="J158" i="2" s="1"/>
  <c r="K158" i="2" s="1"/>
  <c r="H347" i="2"/>
  <c r="J347" i="2" s="1"/>
  <c r="K347" i="2" s="1"/>
  <c r="H396" i="2"/>
  <c r="H383" i="2"/>
  <c r="H128" i="2"/>
  <c r="H365" i="2"/>
  <c r="H381" i="2"/>
  <c r="H276" i="2"/>
  <c r="H285" i="2"/>
  <c r="H143" i="2"/>
  <c r="H157" i="2"/>
  <c r="J157" i="2" s="1"/>
  <c r="K157" i="2" s="1"/>
  <c r="H407" i="2"/>
  <c r="J407" i="2" s="1"/>
  <c r="K407" i="2" s="1"/>
  <c r="H102" i="2"/>
  <c r="H397" i="2"/>
  <c r="H310" i="2"/>
  <c r="H31" i="2"/>
  <c r="J31" i="2" s="1"/>
  <c r="K31" i="2" s="1"/>
  <c r="H364" i="2"/>
  <c r="H36" i="2"/>
  <c r="J36" i="2" s="1"/>
  <c r="K36" i="2" s="1"/>
  <c r="H8" i="2"/>
  <c r="J8" i="2" s="1"/>
  <c r="K8" i="2" s="1"/>
  <c r="H271" i="2"/>
  <c r="H324" i="2"/>
  <c r="H27" i="2"/>
  <c r="H163" i="2"/>
  <c r="H221" i="2"/>
  <c r="J221" i="2" s="1"/>
  <c r="K221" i="2" s="1"/>
  <c r="H278" i="2"/>
  <c r="H136" i="2"/>
  <c r="H150" i="2"/>
  <c r="H172" i="2"/>
  <c r="J172" i="2" s="1"/>
  <c r="K172" i="2" s="1"/>
  <c r="H74" i="2"/>
  <c r="H292" i="2"/>
  <c r="J292" i="2" s="1"/>
  <c r="K292" i="2" s="1"/>
  <c r="H135" i="2"/>
  <c r="H173" i="2"/>
  <c r="H68" i="2"/>
  <c r="H124" i="2"/>
  <c r="H373" i="2"/>
  <c r="J373" i="2" s="1"/>
  <c r="K373" i="2" s="1"/>
  <c r="H115" i="2"/>
  <c r="H89" i="2"/>
  <c r="H300" i="2"/>
  <c r="H200" i="2"/>
  <c r="H45" i="2"/>
  <c r="J45" i="2" s="1"/>
  <c r="K45" i="2" s="1"/>
  <c r="H118" i="2"/>
  <c r="H318" i="2"/>
  <c r="H196" i="2"/>
  <c r="H379" i="2"/>
  <c r="J379" i="2" s="1"/>
  <c r="K379" i="2" s="1"/>
  <c r="H251" i="2"/>
  <c r="H393" i="2"/>
  <c r="J393" i="2" s="1"/>
  <c r="K393" i="2" s="1"/>
  <c r="H26" i="2"/>
  <c r="H244" i="2"/>
  <c r="H96" i="2"/>
  <c r="H218" i="2"/>
  <c r="H7" i="2"/>
  <c r="H255" i="2"/>
  <c r="J255" i="2" s="1"/>
  <c r="K255" i="2" s="1"/>
  <c r="H249" i="2"/>
  <c r="H289" i="2"/>
  <c r="H167" i="2"/>
  <c r="H238" i="2"/>
  <c r="H269" i="2"/>
  <c r="J269" i="2" s="1"/>
  <c r="K269" i="2" s="1"/>
  <c r="H301" i="2"/>
  <c r="H287" i="2"/>
  <c r="H171" i="2"/>
  <c r="H268" i="2"/>
  <c r="H203" i="2"/>
  <c r="H209" i="2"/>
  <c r="J209" i="2" s="1"/>
  <c r="K209" i="2" s="1"/>
  <c r="H270" i="2"/>
  <c r="J270" i="2" s="1"/>
  <c r="K270" i="2" s="1"/>
  <c r="H149" i="2"/>
  <c r="H152" i="2"/>
  <c r="J152" i="2" s="1"/>
  <c r="K152" i="2" s="1"/>
  <c r="H90" i="2"/>
  <c r="H148" i="2"/>
  <c r="H159" i="2"/>
  <c r="H62" i="2"/>
  <c r="J62" i="2" s="1"/>
  <c r="K62" i="2" s="1"/>
  <c r="H119" i="2"/>
  <c r="J119" i="2" s="1"/>
  <c r="K119" i="2" s="1"/>
  <c r="H329" i="2"/>
  <c r="H58" i="2"/>
  <c r="H243" i="2"/>
  <c r="H66" i="2"/>
  <c r="H267" i="2"/>
  <c r="H20" i="2"/>
  <c r="H144" i="2"/>
  <c r="H17" i="2"/>
  <c r="H86" i="2"/>
  <c r="H75" i="2"/>
  <c r="H403" i="2"/>
  <c r="H295" i="2"/>
  <c r="J295" i="2" s="1"/>
  <c r="K295" i="2" s="1"/>
  <c r="H10" i="2"/>
  <c r="H279" i="2"/>
  <c r="H5" i="2"/>
  <c r="H277" i="2"/>
  <c r="H336" i="2"/>
  <c r="H263" i="2"/>
  <c r="H342" i="2"/>
  <c r="H345" i="2"/>
  <c r="H229" i="2"/>
  <c r="H216" i="2"/>
  <c r="H384" i="2"/>
  <c r="H374" i="2"/>
  <c r="H85" i="2"/>
  <c r="J85" i="2" s="1"/>
  <c r="K85" i="2" s="1"/>
  <c r="H168" i="2"/>
  <c r="H359" i="2"/>
  <c r="H39" i="2"/>
  <c r="H228" i="2"/>
  <c r="H87" i="2"/>
  <c r="H41" i="2"/>
  <c r="J41" i="2" s="1"/>
  <c r="K41" i="2" s="1"/>
  <c r="H25" i="2"/>
  <c r="H97" i="2"/>
  <c r="H123" i="2"/>
  <c r="H88" i="2"/>
  <c r="H22" i="2"/>
  <c r="H46" i="2"/>
  <c r="J46" i="2" s="1"/>
  <c r="K46" i="2" s="1"/>
  <c r="H28" i="2"/>
  <c r="H18" i="2"/>
  <c r="H241" i="2"/>
  <c r="H192" i="2"/>
  <c r="H335" i="2"/>
  <c r="H340" i="2"/>
  <c r="H339" i="2"/>
  <c r="H266" i="2"/>
  <c r="H260" i="2"/>
  <c r="H331" i="2"/>
  <c r="H349" i="2"/>
  <c r="H350" i="2"/>
  <c r="H344" i="2"/>
  <c r="H332" i="2"/>
  <c r="H348" i="2"/>
  <c r="H205" i="2"/>
  <c r="H338" i="2"/>
  <c r="H175" i="2"/>
  <c r="H337" i="2"/>
  <c r="H180" i="2"/>
  <c r="H222" i="2"/>
  <c r="H327" i="2"/>
  <c r="H262" i="2"/>
  <c r="H330" i="2"/>
  <c r="H147" i="2"/>
  <c r="H361" i="2"/>
  <c r="H186" i="2"/>
  <c r="H298" i="2"/>
  <c r="H357" i="2"/>
  <c r="H71" i="2"/>
  <c r="H253" i="2"/>
  <c r="J253" i="2" s="1"/>
  <c r="K253" i="2" s="1"/>
  <c r="H387" i="2"/>
  <c r="H80" i="2"/>
  <c r="H275" i="2"/>
  <c r="H368" i="2"/>
  <c r="H137" i="2"/>
  <c r="J137" i="2" s="1"/>
  <c r="K137" i="2" s="1"/>
  <c r="H400" i="2"/>
  <c r="H38" i="2"/>
  <c r="H394" i="2"/>
  <c r="J394" i="2" s="1"/>
  <c r="K394" i="2" s="1"/>
  <c r="H386" i="2"/>
  <c r="H306" i="2"/>
  <c r="H399" i="2"/>
  <c r="H252" i="2"/>
  <c r="J252" i="2" s="1"/>
  <c r="K252" i="2" s="1"/>
  <c r="H64" i="2"/>
  <c r="H42" i="2"/>
  <c r="H398" i="2"/>
  <c r="H30" i="2"/>
  <c r="H406" i="2"/>
  <c r="H376" i="2"/>
  <c r="H404" i="2"/>
  <c r="H140" i="2"/>
  <c r="H411" i="2"/>
  <c r="H390" i="2"/>
  <c r="H409" i="2"/>
  <c r="H408" i="2"/>
  <c r="H220" i="2"/>
  <c r="H207" i="2"/>
  <c r="H283" i="2"/>
  <c r="J283" i="2" s="1"/>
  <c r="K283" i="2" s="1"/>
  <c r="H274" i="2"/>
  <c r="H341" i="2"/>
  <c r="H333" i="2"/>
  <c r="H254" i="2"/>
  <c r="H231" i="2"/>
  <c r="H49" i="2"/>
  <c r="H65" i="2"/>
  <c r="H264" i="2"/>
  <c r="H242" i="2"/>
  <c r="H112" i="2"/>
  <c r="H313" i="2"/>
  <c r="H83" i="2"/>
  <c r="H190" i="2"/>
  <c r="H389" i="2"/>
  <c r="H37" i="2"/>
  <c r="H69" i="2"/>
  <c r="J69" i="2" s="1"/>
  <c r="K69" i="2" s="1"/>
  <c r="H199" i="2"/>
  <c r="J199" i="2" s="1"/>
  <c r="K199" i="2" s="1"/>
  <c r="H296" i="2"/>
  <c r="H272" i="2"/>
  <c r="H51" i="2"/>
  <c r="H195" i="2"/>
  <c r="H15" i="2"/>
  <c r="H356" i="2"/>
  <c r="H34" i="2"/>
  <c r="H73" i="2"/>
  <c r="H319" i="2"/>
  <c r="H55" i="2"/>
  <c r="H321" i="2"/>
  <c r="H325" i="2"/>
  <c r="H297" i="2"/>
  <c r="H362" i="2"/>
  <c r="H129" i="2"/>
  <c r="H230" i="2"/>
  <c r="H134" i="2"/>
  <c r="H154" i="2"/>
  <c r="H212" i="2"/>
  <c r="H181" i="2"/>
  <c r="H177" i="2"/>
  <c r="H133" i="2"/>
  <c r="H101" i="2"/>
  <c r="H201" i="2"/>
  <c r="H95" i="2"/>
  <c r="H108" i="2"/>
  <c r="H232" i="2"/>
  <c r="H120" i="2"/>
  <c r="J120" i="2" s="1"/>
  <c r="K120" i="2" s="1"/>
  <c r="H206" i="2"/>
  <c r="H354" i="2"/>
  <c r="H366" i="2"/>
  <c r="H53" i="2"/>
  <c r="H29" i="2"/>
  <c r="H40" i="2"/>
  <c r="T35" i="2"/>
  <c r="T36" i="2"/>
  <c r="T24" i="2"/>
  <c r="T25" i="2"/>
  <c r="K299" i="2"/>
  <c r="K377" i="2"/>
  <c r="K305" i="2"/>
  <c r="K236" i="2"/>
  <c r="P14" i="2"/>
  <c r="Q19" i="2" s="1"/>
  <c r="K156" i="2"/>
  <c r="K282" i="2"/>
  <c r="K125" i="2"/>
  <c r="K130" i="2"/>
  <c r="K304" i="2"/>
  <c r="K320" i="2"/>
  <c r="K281" i="2"/>
  <c r="K191" i="2"/>
  <c r="K402" i="2"/>
  <c r="K239" i="2"/>
  <c r="K248" i="2"/>
  <c r="K127" i="2"/>
  <c r="K56" i="2"/>
  <c r="K110" i="2"/>
  <c r="K81" i="2"/>
  <c r="K193" i="2"/>
  <c r="K202" i="2"/>
  <c r="K11" i="2"/>
  <c r="M3" i="24"/>
  <c r="M4" i="22"/>
  <c r="M3" i="22"/>
  <c r="M4" i="23"/>
  <c r="M3" i="23"/>
  <c r="M3" i="19"/>
  <c r="M4" i="19"/>
  <c r="M4" i="18"/>
  <c r="M3" i="17"/>
  <c r="M4" i="17"/>
  <c r="M4" i="24"/>
  <c r="M3" i="18"/>
  <c r="M5" i="18" s="1"/>
  <c r="M9" i="18" s="1"/>
  <c r="M3" i="15"/>
  <c r="M5" i="15" s="1"/>
  <c r="M4" i="15"/>
  <c r="J53" i="2" l="1"/>
  <c r="K53" i="2" s="1"/>
  <c r="J201" i="2"/>
  <c r="K201" i="2" s="1"/>
  <c r="J181" i="2"/>
  <c r="K181" i="2" s="1"/>
  <c r="J230" i="2"/>
  <c r="K230" i="2" s="1"/>
  <c r="J325" i="2"/>
  <c r="K325" i="2" s="1"/>
  <c r="J73" i="2"/>
  <c r="K73" i="2" s="1"/>
  <c r="J195" i="2"/>
  <c r="K195" i="2" s="1"/>
  <c r="J190" i="2"/>
  <c r="K190" i="2" s="1"/>
  <c r="J242" i="2"/>
  <c r="K242" i="2" s="1"/>
  <c r="J231" i="2"/>
  <c r="K231" i="2" s="1"/>
  <c r="J274" i="2"/>
  <c r="K274" i="2" s="1"/>
  <c r="J408" i="2"/>
  <c r="K408" i="2" s="1"/>
  <c r="J140" i="2"/>
  <c r="K140" i="2" s="1"/>
  <c r="J30" i="2"/>
  <c r="K30" i="2" s="1"/>
  <c r="J368" i="2"/>
  <c r="K368" i="2" s="1"/>
  <c r="J186" i="2"/>
  <c r="K186" i="2" s="1"/>
  <c r="J262" i="2"/>
  <c r="K262" i="2" s="1"/>
  <c r="J337" i="2"/>
  <c r="K337" i="2" s="1"/>
  <c r="J348" i="2"/>
  <c r="K348" i="2" s="1"/>
  <c r="J349" i="2"/>
  <c r="K349" i="2" s="1"/>
  <c r="J339" i="2"/>
  <c r="K339" i="2" s="1"/>
  <c r="J241" i="2"/>
  <c r="K241" i="2" s="1"/>
  <c r="J22" i="2"/>
  <c r="K22" i="2" s="1"/>
  <c r="J25" i="2"/>
  <c r="K25" i="2" s="1"/>
  <c r="J39" i="2"/>
  <c r="K39" i="2" s="1"/>
  <c r="J374" i="2"/>
  <c r="K374" i="2" s="1"/>
  <c r="J345" i="2"/>
  <c r="K345" i="2" s="1"/>
  <c r="J277" i="2"/>
  <c r="K277" i="2" s="1"/>
  <c r="J17" i="2"/>
  <c r="K17" i="2" s="1"/>
  <c r="J66" i="2"/>
  <c r="K66" i="2" s="1"/>
  <c r="J90" i="2"/>
  <c r="K90" i="2" s="1"/>
  <c r="J287" i="2"/>
  <c r="K287" i="2" s="1"/>
  <c r="J167" i="2"/>
  <c r="K167" i="2" s="1"/>
  <c r="J7" i="2"/>
  <c r="K7" i="2" s="1"/>
  <c r="J26" i="2"/>
  <c r="K26" i="2" s="1"/>
  <c r="J196" i="2"/>
  <c r="K196" i="2" s="1"/>
  <c r="J200" i="2"/>
  <c r="K200" i="2" s="1"/>
  <c r="J135" i="2"/>
  <c r="K135" i="2" s="1"/>
  <c r="J150" i="2"/>
  <c r="K150" i="2" s="1"/>
  <c r="J163" i="2"/>
  <c r="K163" i="2" s="1"/>
  <c r="J310" i="2"/>
  <c r="K310" i="2" s="1"/>
  <c r="J381" i="2"/>
  <c r="K381" i="2" s="1"/>
  <c r="J396" i="2"/>
  <c r="K396" i="2" s="1"/>
  <c r="J395" i="2"/>
  <c r="K395" i="2" s="1"/>
  <c r="J261" i="2"/>
  <c r="K261" i="2" s="1"/>
  <c r="J366" i="2"/>
  <c r="K366" i="2" s="1"/>
  <c r="J232" i="2"/>
  <c r="K232" i="2" s="1"/>
  <c r="J101" i="2"/>
  <c r="K101" i="2" s="1"/>
  <c r="J212" i="2"/>
  <c r="K212" i="2" s="1"/>
  <c r="J129" i="2"/>
  <c r="K129" i="2" s="1"/>
  <c r="J321" i="2"/>
  <c r="K321" i="2" s="1"/>
  <c r="J34" i="2"/>
  <c r="K34" i="2" s="1"/>
  <c r="J51" i="2"/>
  <c r="K51" i="2" s="1"/>
  <c r="J83" i="2"/>
  <c r="K83" i="2" s="1"/>
  <c r="J264" i="2"/>
  <c r="K264" i="2" s="1"/>
  <c r="J254" i="2"/>
  <c r="K254" i="2" s="1"/>
  <c r="J409" i="2"/>
  <c r="K409" i="2" s="1"/>
  <c r="J404" i="2"/>
  <c r="K404" i="2" s="1"/>
  <c r="J398" i="2"/>
  <c r="K398" i="2" s="1"/>
  <c r="J399" i="2"/>
  <c r="K399" i="2" s="1"/>
  <c r="J38" i="2"/>
  <c r="K38" i="2" s="1"/>
  <c r="J275" i="2"/>
  <c r="K275" i="2" s="1"/>
  <c r="J71" i="2"/>
  <c r="K71" i="2" s="1"/>
  <c r="J361" i="2"/>
  <c r="K361" i="2" s="1"/>
  <c r="J327" i="2"/>
  <c r="K327" i="2" s="1"/>
  <c r="J175" i="2"/>
  <c r="K175" i="2" s="1"/>
  <c r="J332" i="2"/>
  <c r="K332" i="2" s="1"/>
  <c r="J331" i="2"/>
  <c r="K331" i="2" s="1"/>
  <c r="J340" i="2"/>
  <c r="K340" i="2" s="1"/>
  <c r="J18" i="2"/>
  <c r="K18" i="2" s="1"/>
  <c r="J88" i="2"/>
  <c r="K88" i="2" s="1"/>
  <c r="J359" i="2"/>
  <c r="K359" i="2" s="1"/>
  <c r="J384" i="2"/>
  <c r="K384" i="2" s="1"/>
  <c r="J342" i="2"/>
  <c r="K342" i="2" s="1"/>
  <c r="J5" i="2"/>
  <c r="K5" i="2" s="1"/>
  <c r="J403" i="2"/>
  <c r="K403" i="2" s="1"/>
  <c r="J144" i="2"/>
  <c r="K144" i="2" s="1"/>
  <c r="J243" i="2"/>
  <c r="K243" i="2" s="1"/>
  <c r="J203" i="2"/>
  <c r="K203" i="2" s="1"/>
  <c r="J301" i="2"/>
  <c r="K301" i="2" s="1"/>
  <c r="J289" i="2"/>
  <c r="K289" i="2" s="1"/>
  <c r="J218" i="2"/>
  <c r="K218" i="2" s="1"/>
  <c r="J318" i="2"/>
  <c r="K318" i="2" s="1"/>
  <c r="J300" i="2"/>
  <c r="K300" i="2" s="1"/>
  <c r="J124" i="2"/>
  <c r="K124" i="2" s="1"/>
  <c r="J136" i="2"/>
  <c r="K136" i="2" s="1"/>
  <c r="J27" i="2"/>
  <c r="K27" i="2" s="1"/>
  <c r="J397" i="2"/>
  <c r="K397" i="2" s="1"/>
  <c r="J143" i="2"/>
  <c r="K143" i="2" s="1"/>
  <c r="J365" i="2"/>
  <c r="K365" i="2" s="1"/>
  <c r="J219" i="2"/>
  <c r="K219" i="2" s="1"/>
  <c r="J160" i="2"/>
  <c r="K160" i="2" s="1"/>
  <c r="J354" i="2"/>
  <c r="K354" i="2" s="1"/>
  <c r="J108" i="2"/>
  <c r="K108" i="2" s="1"/>
  <c r="J133" i="2"/>
  <c r="K133" i="2" s="1"/>
  <c r="J154" i="2"/>
  <c r="K154" i="2" s="1"/>
  <c r="J362" i="2"/>
  <c r="K362" i="2" s="1"/>
  <c r="J55" i="2"/>
  <c r="K55" i="2" s="1"/>
  <c r="J356" i="2"/>
  <c r="K356" i="2" s="1"/>
  <c r="J272" i="2"/>
  <c r="K272" i="2" s="1"/>
  <c r="J37" i="2"/>
  <c r="K37" i="2" s="1"/>
  <c r="J313" i="2"/>
  <c r="K313" i="2" s="1"/>
  <c r="J65" i="2"/>
  <c r="K65" i="2" s="1"/>
  <c r="J333" i="2"/>
  <c r="K333" i="2" s="1"/>
  <c r="J207" i="2"/>
  <c r="K207" i="2" s="1"/>
  <c r="J390" i="2"/>
  <c r="K390" i="2" s="1"/>
  <c r="J376" i="2"/>
  <c r="K376" i="2" s="1"/>
  <c r="J42" i="2"/>
  <c r="K42" i="2" s="1"/>
  <c r="J306" i="2"/>
  <c r="K306" i="2" s="1"/>
  <c r="J400" i="2"/>
  <c r="K400" i="2" s="1"/>
  <c r="J80" i="2"/>
  <c r="K80" i="2" s="1"/>
  <c r="J357" i="2"/>
  <c r="K357" i="2" s="1"/>
  <c r="J147" i="2"/>
  <c r="K147" i="2" s="1"/>
  <c r="J222" i="2"/>
  <c r="K222" i="2" s="1"/>
  <c r="J338" i="2"/>
  <c r="K338" i="2" s="1"/>
  <c r="J344" i="2"/>
  <c r="K344" i="2" s="1"/>
  <c r="J260" i="2"/>
  <c r="K260" i="2" s="1"/>
  <c r="J335" i="2"/>
  <c r="K335" i="2" s="1"/>
  <c r="J28" i="2"/>
  <c r="K28" i="2" s="1"/>
  <c r="J123" i="2"/>
  <c r="K123" i="2" s="1"/>
  <c r="J87" i="2"/>
  <c r="K87" i="2" s="1"/>
  <c r="J168" i="2"/>
  <c r="K168" i="2" s="1"/>
  <c r="J216" i="2"/>
  <c r="K216" i="2" s="1"/>
  <c r="J263" i="2"/>
  <c r="K263" i="2" s="1"/>
  <c r="J279" i="2"/>
  <c r="K279" i="2" s="1"/>
  <c r="J75" i="2"/>
  <c r="K75" i="2" s="1"/>
  <c r="J20" i="2"/>
  <c r="K20" i="2" s="1"/>
  <c r="J58" i="2"/>
  <c r="K58" i="2" s="1"/>
  <c r="J159" i="2"/>
  <c r="K159" i="2" s="1"/>
  <c r="J149" i="2"/>
  <c r="K149" i="2" s="1"/>
  <c r="J268" i="2"/>
  <c r="K268" i="2" s="1"/>
  <c r="J249" i="2"/>
  <c r="K249" i="2" s="1"/>
  <c r="J96" i="2"/>
  <c r="K96" i="2" s="1"/>
  <c r="J251" i="2"/>
  <c r="K251" i="2" s="1"/>
  <c r="J118" i="2"/>
  <c r="K118" i="2" s="1"/>
  <c r="J89" i="2"/>
  <c r="K89" i="2" s="1"/>
  <c r="J68" i="2"/>
  <c r="K68" i="2" s="1"/>
  <c r="J74" i="2"/>
  <c r="K74" i="2" s="1"/>
  <c r="J278" i="2"/>
  <c r="K278" i="2" s="1"/>
  <c r="J324" i="2"/>
  <c r="K324" i="2" s="1"/>
  <c r="J364" i="2"/>
  <c r="K364" i="2" s="1"/>
  <c r="J102" i="2"/>
  <c r="K102" i="2" s="1"/>
  <c r="J285" i="2"/>
  <c r="K285" i="2" s="1"/>
  <c r="J128" i="2"/>
  <c r="K128" i="2" s="1"/>
  <c r="J352" i="2"/>
  <c r="K352" i="2" s="1"/>
  <c r="J317" i="2"/>
  <c r="K317" i="2" s="1"/>
  <c r="J250" i="2"/>
  <c r="K250" i="2" s="1"/>
  <c r="J29" i="2"/>
  <c r="K29" i="2" s="1"/>
  <c r="J206" i="2"/>
  <c r="K206" i="2" s="1"/>
  <c r="J95" i="2"/>
  <c r="K95" i="2" s="1"/>
  <c r="J177" i="2"/>
  <c r="K177" i="2" s="1"/>
  <c r="J134" i="2"/>
  <c r="K134" i="2" s="1"/>
  <c r="J297" i="2"/>
  <c r="K297" i="2" s="1"/>
  <c r="J319" i="2"/>
  <c r="K319" i="2" s="1"/>
  <c r="J15" i="2"/>
  <c r="K15" i="2" s="1"/>
  <c r="J296" i="2"/>
  <c r="K296" i="2" s="1"/>
  <c r="J389" i="2"/>
  <c r="K389" i="2" s="1"/>
  <c r="J112" i="2"/>
  <c r="K112" i="2" s="1"/>
  <c r="J49" i="2"/>
  <c r="K49" i="2" s="1"/>
  <c r="J341" i="2"/>
  <c r="K341" i="2" s="1"/>
  <c r="J220" i="2"/>
  <c r="K220" i="2" s="1"/>
  <c r="J411" i="2"/>
  <c r="K411" i="2" s="1"/>
  <c r="J406" i="2"/>
  <c r="K406" i="2" s="1"/>
  <c r="J64" i="2"/>
  <c r="K64" i="2" s="1"/>
  <c r="J386" i="2"/>
  <c r="K386" i="2" s="1"/>
  <c r="J387" i="2"/>
  <c r="K387" i="2" s="1"/>
  <c r="J298" i="2"/>
  <c r="K298" i="2" s="1"/>
  <c r="J330" i="2"/>
  <c r="K330" i="2" s="1"/>
  <c r="J180" i="2"/>
  <c r="K180" i="2" s="1"/>
  <c r="J205" i="2"/>
  <c r="K205" i="2" s="1"/>
  <c r="J350" i="2"/>
  <c r="K350" i="2" s="1"/>
  <c r="J266" i="2"/>
  <c r="K266" i="2" s="1"/>
  <c r="J192" i="2"/>
  <c r="K192" i="2" s="1"/>
  <c r="J97" i="2"/>
  <c r="K97" i="2" s="1"/>
  <c r="J228" i="2"/>
  <c r="K228" i="2" s="1"/>
  <c r="J229" i="2"/>
  <c r="K229" i="2" s="1"/>
  <c r="J336" i="2"/>
  <c r="K336" i="2" s="1"/>
  <c r="J10" i="2"/>
  <c r="K10" i="2" s="1"/>
  <c r="J86" i="2"/>
  <c r="K86" i="2" s="1"/>
  <c r="J267" i="2"/>
  <c r="K267" i="2" s="1"/>
  <c r="J329" i="2"/>
  <c r="K329" i="2" s="1"/>
  <c r="J148" i="2"/>
  <c r="K148" i="2" s="1"/>
  <c r="J171" i="2"/>
  <c r="K171" i="2" s="1"/>
  <c r="J238" i="2"/>
  <c r="K238" i="2" s="1"/>
  <c r="J244" i="2"/>
  <c r="K244" i="2" s="1"/>
  <c r="J115" i="2"/>
  <c r="K115" i="2" s="1"/>
  <c r="J173" i="2"/>
  <c r="K173" i="2" s="1"/>
  <c r="J271" i="2"/>
  <c r="K271" i="2" s="1"/>
  <c r="J276" i="2"/>
  <c r="K276" i="2" s="1"/>
  <c r="J383" i="2"/>
  <c r="K383" i="2" s="1"/>
  <c r="J100" i="2"/>
  <c r="K100" i="2" s="1"/>
  <c r="J50" i="2"/>
  <c r="K50" i="2" s="1"/>
  <c r="J40" i="2"/>
  <c r="K40" i="2" s="1"/>
  <c r="M5" i="24"/>
  <c r="M9" i="24" s="1"/>
  <c r="M5" i="22"/>
  <c r="M9" i="22" s="1"/>
  <c r="M5" i="23"/>
  <c r="M9" i="23" s="1"/>
  <c r="M5" i="19"/>
  <c r="M9" i="19" s="1"/>
  <c r="M5" i="17"/>
  <c r="M9" i="17" s="1"/>
  <c r="P10" i="2" l="1"/>
  <c r="I294" i="2" l="1"/>
  <c r="I18" i="2" l="1"/>
  <c r="I2" i="2" l="1"/>
  <c r="I19" i="2" l="1"/>
  <c r="I20" i="2" l="1"/>
  <c r="I41" i="2" l="1"/>
  <c r="I42" i="2" l="1"/>
  <c r="I44" i="2" l="1"/>
  <c r="I43" i="2"/>
  <c r="I45" i="2" l="1"/>
  <c r="I46" i="2" l="1"/>
  <c r="I47" i="2" l="1"/>
  <c r="I49" i="2" l="1"/>
  <c r="I48" i="2"/>
  <c r="I22" i="2" l="1"/>
  <c r="I21" i="2"/>
  <c r="I23" i="2" l="1"/>
  <c r="I24" i="2" l="1"/>
  <c r="I25" i="2" l="1"/>
  <c r="I26" i="2" l="1"/>
  <c r="I27" i="2" l="1"/>
  <c r="I28" i="2" l="1"/>
  <c r="I29" i="2"/>
  <c r="I296" i="2" l="1"/>
  <c r="I295" i="2"/>
  <c r="I297" i="2" l="1"/>
  <c r="I298" i="2" l="1"/>
  <c r="I299" i="2" l="1"/>
  <c r="I300" i="2" l="1"/>
  <c r="I301" i="2" l="1"/>
  <c r="I302" i="2" l="1"/>
  <c r="I303" i="2" l="1"/>
  <c r="I304" i="2" l="1"/>
  <c r="I305" i="2" l="1"/>
  <c r="I306" i="2" l="1"/>
  <c r="I307" i="2" l="1"/>
  <c r="I308" i="2" l="1"/>
  <c r="I309" i="2" l="1"/>
  <c r="I310" i="2" l="1"/>
  <c r="I311" i="2" l="1"/>
  <c r="I312" i="2" l="1"/>
  <c r="I313" i="2" l="1"/>
  <c r="I314" i="2" l="1"/>
  <c r="I315" i="2" l="1"/>
  <c r="I316" i="2" l="1"/>
  <c r="I317" i="2" l="1"/>
  <c r="I318" i="2" l="1"/>
  <c r="I319" i="2" l="1"/>
  <c r="I321" i="2" l="1"/>
  <c r="I320" i="2"/>
  <c r="I31" i="2" l="1"/>
  <c r="I30" i="2"/>
  <c r="I51" i="2" l="1"/>
  <c r="I32" i="2"/>
  <c r="I50" i="2"/>
  <c r="I33" i="2" l="1"/>
  <c r="I52" i="2"/>
  <c r="I34" i="2" l="1"/>
  <c r="I53" i="2"/>
  <c r="I54" i="2" l="1"/>
  <c r="I323" i="2"/>
  <c r="I35" i="2"/>
  <c r="I322" i="2"/>
  <c r="I324" i="2" l="1"/>
  <c r="I36" i="2"/>
  <c r="I55" i="2"/>
  <c r="I37" i="2" l="1"/>
  <c r="I56" i="2"/>
  <c r="I325" i="2"/>
  <c r="I57" i="2" l="1"/>
  <c r="I39" i="2"/>
  <c r="I38" i="2"/>
  <c r="I326" i="2"/>
  <c r="I327" i="2" l="1"/>
  <c r="I58" i="2"/>
  <c r="I59" i="2" l="1"/>
  <c r="I328" i="2"/>
  <c r="I329" i="2" l="1"/>
  <c r="I60" i="2"/>
  <c r="I61" i="2" l="1"/>
  <c r="I330" i="2"/>
  <c r="I331" i="2" l="1"/>
  <c r="I62" i="2"/>
  <c r="I63" i="2" l="1"/>
  <c r="I332" i="2"/>
  <c r="I333" i="2" l="1"/>
  <c r="I64" i="2"/>
  <c r="I65" i="2" l="1"/>
  <c r="I334" i="2"/>
  <c r="I335" i="2" l="1"/>
  <c r="I66" i="2"/>
  <c r="I67" i="2" l="1"/>
  <c r="I336" i="2"/>
  <c r="I337" i="2" l="1"/>
  <c r="I68" i="2"/>
  <c r="I69" i="2" l="1"/>
  <c r="I338" i="2"/>
  <c r="I339" i="2" l="1"/>
  <c r="I70" i="2"/>
  <c r="I71" i="2" l="1"/>
  <c r="I340" i="2"/>
  <c r="I341" i="2" l="1"/>
  <c r="I72" i="2"/>
  <c r="I73" i="2" l="1"/>
  <c r="I342" i="2"/>
  <c r="I343" i="2" l="1"/>
  <c r="I74" i="2"/>
  <c r="I75" i="2" l="1"/>
  <c r="I344" i="2"/>
  <c r="I345" i="2" l="1"/>
  <c r="I76" i="2"/>
  <c r="I77" i="2" l="1"/>
  <c r="I346" i="2"/>
  <c r="I347" i="2" l="1"/>
  <c r="I78" i="2"/>
  <c r="I79" i="2" l="1"/>
  <c r="I348" i="2"/>
  <c r="I349" i="2" l="1"/>
  <c r="I80" i="2"/>
  <c r="I81" i="2" l="1"/>
  <c r="I350" i="2"/>
  <c r="I351" i="2" l="1"/>
  <c r="I82" i="2"/>
  <c r="I83" i="2" l="1"/>
  <c r="I352" i="2"/>
  <c r="I353" i="2" l="1"/>
  <c r="I84" i="2"/>
  <c r="I85" i="2" l="1"/>
  <c r="I354" i="2"/>
  <c r="I355" i="2" l="1"/>
  <c r="I86" i="2"/>
  <c r="I87" i="2" l="1"/>
  <c r="I356" i="2"/>
  <c r="I357" i="2" l="1"/>
  <c r="I88" i="2"/>
  <c r="I89" i="2" l="1"/>
  <c r="I358" i="2"/>
  <c r="I359" i="2" l="1"/>
  <c r="I90" i="2"/>
  <c r="I91" i="2" l="1"/>
  <c r="I360" i="2"/>
  <c r="I361" i="2" l="1"/>
  <c r="I92" i="2"/>
  <c r="I93" i="2" l="1"/>
  <c r="I362" i="2"/>
  <c r="I363" i="2" l="1"/>
  <c r="I94" i="2"/>
  <c r="I95" i="2" l="1"/>
  <c r="I364" i="2"/>
  <c r="I365" i="2" l="1"/>
  <c r="I96" i="2"/>
  <c r="I97" i="2" l="1"/>
  <c r="I366" i="2"/>
  <c r="I367" i="2" l="1"/>
  <c r="I98" i="2"/>
  <c r="I99" i="2" l="1"/>
  <c r="I368" i="2"/>
  <c r="I369" i="2" l="1"/>
  <c r="I100" i="2"/>
  <c r="I101" i="2" l="1"/>
  <c r="I370" i="2"/>
  <c r="I371" i="2" l="1"/>
  <c r="I102" i="2"/>
  <c r="I103" i="2" l="1"/>
  <c r="I372" i="2"/>
  <c r="I373" i="2" l="1"/>
  <c r="I104" i="2"/>
  <c r="I105" i="2" l="1"/>
  <c r="I374" i="2"/>
  <c r="I375" i="2" l="1"/>
  <c r="I106" i="2"/>
  <c r="I107" i="2" l="1"/>
  <c r="I376" i="2"/>
  <c r="I108" i="2" l="1"/>
  <c r="I377" i="2"/>
  <c r="I378" i="2" l="1"/>
  <c r="I109" i="2"/>
  <c r="I110" i="2" l="1"/>
  <c r="I379" i="2"/>
  <c r="I380" i="2" l="1"/>
  <c r="I111" i="2"/>
  <c r="I112" i="2" l="1"/>
  <c r="I381" i="2"/>
  <c r="I382" i="2" l="1"/>
  <c r="I113" i="2"/>
  <c r="I114" i="2" l="1"/>
  <c r="I383" i="2"/>
  <c r="I385" i="2" l="1"/>
  <c r="I384" i="2"/>
  <c r="I115" i="2"/>
  <c r="I116" i="2" l="1"/>
  <c r="I117" i="2" l="1"/>
  <c r="I118" i="2" l="1"/>
  <c r="I119" i="2" l="1"/>
  <c r="I120" i="2" l="1"/>
  <c r="I121" i="2" l="1"/>
  <c r="I122" i="2" l="1"/>
  <c r="I123" i="2" l="1"/>
  <c r="I124" i="2" l="1"/>
  <c r="I125" i="2" l="1"/>
  <c r="I126" i="2" l="1"/>
  <c r="I127" i="2" l="1"/>
  <c r="I128" i="2" l="1"/>
  <c r="I129" i="2" l="1"/>
  <c r="I130" i="2" l="1"/>
  <c r="I131" i="2" l="1"/>
  <c r="I132" i="2" l="1"/>
  <c r="I133" i="2" l="1"/>
  <c r="I134" i="2" l="1"/>
  <c r="I135" i="2" l="1"/>
  <c r="I136" i="2" l="1"/>
  <c r="I137" i="2" l="1"/>
  <c r="I138" i="2" l="1"/>
  <c r="I139" i="2" l="1"/>
  <c r="I140" i="2" l="1"/>
  <c r="I141" i="2" l="1"/>
  <c r="I142" i="2" l="1"/>
  <c r="I143" i="2" l="1"/>
  <c r="I144" i="2" l="1"/>
  <c r="I145" i="2" l="1"/>
  <c r="I146" i="2" l="1"/>
  <c r="I147" i="2" l="1"/>
  <c r="I148" i="2" l="1"/>
  <c r="I149" i="2" l="1"/>
  <c r="I150" i="2"/>
  <c r="L3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" i="2" l="1"/>
  <c r="I3" i="2"/>
  <c r="I5" i="2" l="1"/>
  <c r="I6" i="2" l="1"/>
  <c r="I7" i="2" l="1"/>
  <c r="I8" i="2" l="1"/>
  <c r="I9" i="2" l="1"/>
  <c r="I10" i="2" l="1"/>
  <c r="I11" i="2" l="1"/>
  <c r="I12" i="2" l="1"/>
  <c r="I13" i="2" l="1"/>
  <c r="I14" i="2" l="1"/>
  <c r="I15" i="2" l="1"/>
  <c r="I16" i="2" l="1"/>
  <c r="I17" i="2"/>
  <c r="P5" i="2" s="1"/>
  <c r="P12" i="2" l="1"/>
  <c r="P8" i="2"/>
  <c r="P9" i="2"/>
  <c r="P4" i="2"/>
  <c r="P6" i="2" s="1"/>
  <c r="P7" i="2"/>
  <c r="P13" i="2" l="1"/>
  <c r="P19" i="2" s="1"/>
  <c r="H3" i="26" l="1"/>
  <c r="I3" i="26" s="1"/>
  <c r="H2" i="26"/>
  <c r="I2" i="26" s="1"/>
  <c r="H4" i="26" l="1"/>
  <c r="H5" i="26" l="1"/>
  <c r="I5" i="26" s="1"/>
  <c r="I4" i="26"/>
  <c r="H6" i="26" l="1"/>
  <c r="H7" i="26" l="1"/>
  <c r="I7" i="26" s="1"/>
  <c r="I6" i="26"/>
  <c r="H8" i="26" l="1"/>
  <c r="I8" i="26" l="1"/>
  <c r="H9" i="26"/>
  <c r="I9" i="26" s="1"/>
  <c r="H10" i="26" l="1"/>
  <c r="H11" i="26" l="1"/>
  <c r="I11" i="26" s="1"/>
  <c r="I10" i="26"/>
  <c r="H12" i="26" l="1"/>
  <c r="H13" i="26" l="1"/>
  <c r="I13" i="26" s="1"/>
  <c r="I12" i="26"/>
  <c r="H14" i="26" l="1"/>
  <c r="I14" i="26" s="1"/>
  <c r="H15" i="26" l="1"/>
  <c r="I15" i="26" s="1"/>
  <c r="H16" i="26" l="1"/>
  <c r="I16" i="26" s="1"/>
  <c r="H17" i="26" l="1"/>
  <c r="I17" i="26" s="1"/>
  <c r="H18" i="26" l="1"/>
  <c r="I18" i="26" s="1"/>
  <c r="H19" i="26" l="1"/>
  <c r="I19" i="26" s="1"/>
  <c r="H20" i="26" l="1"/>
  <c r="I20" i="26" s="1"/>
  <c r="H21" i="26" l="1"/>
  <c r="I21" i="26" s="1"/>
  <c r="H22" i="26" l="1"/>
  <c r="I22" i="26" s="1"/>
  <c r="H23" i="26" l="1"/>
  <c r="I23" i="26" s="1"/>
  <c r="H24" i="26" l="1"/>
  <c r="I24" i="26" s="1"/>
  <c r="H25" i="26" l="1"/>
  <c r="I25" i="26" s="1"/>
  <c r="H26" i="26" l="1"/>
  <c r="I26" i="26" s="1"/>
  <c r="H27" i="26" l="1"/>
  <c r="I27" i="26" s="1"/>
  <c r="H28" i="26" l="1"/>
  <c r="I28" i="26" s="1"/>
  <c r="H29" i="26" l="1"/>
  <c r="I29" i="26" s="1"/>
  <c r="H30" i="26" l="1"/>
  <c r="I30" i="26" s="1"/>
  <c r="H31" i="26" l="1"/>
  <c r="I31" i="26" s="1"/>
  <c r="H32" i="26" l="1"/>
  <c r="I32" i="26" s="1"/>
  <c r="H33" i="26" l="1"/>
  <c r="I33" i="26" s="1"/>
  <c r="H34" i="26" l="1"/>
  <c r="I34" i="26" s="1"/>
  <c r="H35" i="26" l="1"/>
  <c r="I35" i="26" s="1"/>
  <c r="H36" i="26" l="1"/>
  <c r="I36" i="26" s="1"/>
  <c r="H37" i="26" l="1"/>
  <c r="I37" i="26" s="1"/>
  <c r="H38" i="26" l="1"/>
  <c r="I38" i="26" s="1"/>
  <c r="H39" i="26" l="1"/>
  <c r="I39" i="26" s="1"/>
  <c r="H40" i="26" l="1"/>
  <c r="I40" i="26" s="1"/>
  <c r="H41" i="26" l="1"/>
  <c r="I41" i="26" s="1"/>
  <c r="H42" i="26" l="1"/>
  <c r="I42" i="26" s="1"/>
  <c r="H43" i="26" l="1"/>
  <c r="I43" i="26" s="1"/>
  <c r="H44" i="26" l="1"/>
  <c r="I44" i="26" s="1"/>
  <c r="H45" i="26" l="1"/>
  <c r="I45" i="26" s="1"/>
  <c r="H46" i="26" l="1"/>
  <c r="I46" i="26" s="1"/>
  <c r="H47" i="26" l="1"/>
  <c r="I47" i="26" s="1"/>
  <c r="H48" i="26" l="1"/>
  <c r="I48" i="26" s="1"/>
  <c r="H49" i="26" l="1"/>
  <c r="I49" i="26" s="1"/>
  <c r="H50" i="26" l="1"/>
  <c r="I50" i="26" s="1"/>
  <c r="H51" i="26" l="1"/>
  <c r="I51" i="26" s="1"/>
  <c r="H52" i="26" l="1"/>
  <c r="I52" i="26" s="1"/>
  <c r="H53" i="26" l="1"/>
  <c r="I53" i="26" s="1"/>
  <c r="H54" i="26" l="1"/>
  <c r="I54" i="26" s="1"/>
  <c r="H55" i="26" l="1"/>
  <c r="I55" i="26" s="1"/>
  <c r="H56" i="26" l="1"/>
  <c r="I56" i="26" s="1"/>
  <c r="H57" i="26" l="1"/>
  <c r="I57" i="26" s="1"/>
  <c r="H58" i="26" l="1"/>
  <c r="I58" i="26" s="1"/>
  <c r="H59" i="26" l="1"/>
  <c r="I59" i="26" s="1"/>
  <c r="H60" i="26" l="1"/>
  <c r="I60" i="26" s="1"/>
  <c r="H61" i="26" l="1"/>
  <c r="I61" i="26" s="1"/>
  <c r="H62" i="26" l="1"/>
  <c r="I62" i="26" s="1"/>
  <c r="H63" i="26" l="1"/>
  <c r="I63" i="26" s="1"/>
  <c r="H64" i="26" l="1"/>
  <c r="I64" i="26" s="1"/>
  <c r="H65" i="26" l="1"/>
  <c r="I65" i="26" s="1"/>
  <c r="H66" i="26" l="1"/>
  <c r="I66" i="26" s="1"/>
  <c r="H67" i="26" l="1"/>
  <c r="I67" i="26" s="1"/>
  <c r="H68" i="26" l="1"/>
  <c r="I68" i="26" s="1"/>
  <c r="H69" i="26" l="1"/>
  <c r="I69" i="26" s="1"/>
  <c r="H70" i="26" l="1"/>
  <c r="I70" i="26" s="1"/>
  <c r="H71" i="26" l="1"/>
  <c r="I71" i="26" s="1"/>
  <c r="H72" i="26" l="1"/>
  <c r="I72" i="26" s="1"/>
  <c r="H73" i="26" l="1"/>
  <c r="I73" i="26" s="1"/>
  <c r="H74" i="26" l="1"/>
  <c r="I74" i="26" s="1"/>
  <c r="H75" i="26" l="1"/>
  <c r="I75" i="26" s="1"/>
  <c r="H76" i="26" l="1"/>
  <c r="I76" i="26" s="1"/>
  <c r="H77" i="26" l="1"/>
  <c r="I77" i="26" s="1"/>
  <c r="H78" i="26" l="1"/>
  <c r="I78" i="26" s="1"/>
  <c r="H79" i="26" l="1"/>
  <c r="I79" i="26" s="1"/>
  <c r="H80" i="26" l="1"/>
  <c r="I80" i="26" s="1"/>
  <c r="H81" i="26" l="1"/>
  <c r="I81" i="26" s="1"/>
  <c r="H82" i="26" l="1"/>
  <c r="I82" i="26" s="1"/>
  <c r="H83" i="26" l="1"/>
  <c r="I83" i="26" s="1"/>
  <c r="H84" i="26" l="1"/>
  <c r="I84" i="26" s="1"/>
  <c r="H85" i="26" l="1"/>
  <c r="I85" i="26" s="1"/>
  <c r="H86" i="26" l="1"/>
  <c r="I86" i="26" s="1"/>
  <c r="H87" i="26" l="1"/>
  <c r="I87" i="26" s="1"/>
  <c r="H88" i="26" l="1"/>
  <c r="I88" i="26" s="1"/>
  <c r="H89" i="26" l="1"/>
  <c r="I89" i="26" s="1"/>
  <c r="H90" i="26" l="1"/>
  <c r="I90" i="26" s="1"/>
  <c r="H91" i="26" l="1"/>
  <c r="I91" i="26" s="1"/>
  <c r="H92" i="26" l="1"/>
  <c r="I92" i="26" s="1"/>
  <c r="H93" i="26" l="1"/>
  <c r="I93" i="26" s="1"/>
  <c r="H94" i="26" l="1"/>
  <c r="I94" i="26" s="1"/>
  <c r="H95" i="26" l="1"/>
  <c r="I95" i="26" s="1"/>
  <c r="H96" i="26" l="1"/>
  <c r="I96" i="26" s="1"/>
  <c r="H97" i="26" l="1"/>
  <c r="I97" i="26" s="1"/>
  <c r="H98" i="26" l="1"/>
  <c r="I98" i="26" s="1"/>
  <c r="H99" i="26" l="1"/>
  <c r="I99" i="26" s="1"/>
  <c r="H100" i="26" l="1"/>
  <c r="I100" i="26" s="1"/>
  <c r="H101" i="26" l="1"/>
  <c r="I101" i="26" s="1"/>
  <c r="H102" i="26" l="1"/>
  <c r="I102" i="26" s="1"/>
  <c r="H103" i="26" l="1"/>
  <c r="I103" i="26" s="1"/>
  <c r="H104" i="26" l="1"/>
  <c r="I104" i="26" s="1"/>
  <c r="H105" i="26" l="1"/>
  <c r="I105" i="26" s="1"/>
  <c r="H106" i="26" l="1"/>
  <c r="I106" i="26" s="1"/>
  <c r="H107" i="26" l="1"/>
  <c r="I107" i="26" s="1"/>
  <c r="H108" i="26" l="1"/>
  <c r="I108" i="26" s="1"/>
  <c r="H109" i="26" l="1"/>
  <c r="I109" i="26" s="1"/>
  <c r="H110" i="26" l="1"/>
  <c r="I110" i="26" s="1"/>
  <c r="H111" i="26" l="1"/>
  <c r="I111" i="26" s="1"/>
  <c r="H112" i="26" l="1"/>
  <c r="I112" i="26" s="1"/>
  <c r="H113" i="26" l="1"/>
  <c r="I113" i="26" s="1"/>
  <c r="H114" i="26" l="1"/>
  <c r="I114" i="26" s="1"/>
  <c r="H115" i="26" l="1"/>
  <c r="I115" i="26" s="1"/>
  <c r="H116" i="26" l="1"/>
  <c r="I116" i="26" s="1"/>
  <c r="H117" i="26" l="1"/>
  <c r="I117" i="26" s="1"/>
  <c r="H118" i="26" l="1"/>
  <c r="I118" i="26" s="1"/>
  <c r="H119" i="26" l="1"/>
  <c r="I119" i="26" s="1"/>
  <c r="H120" i="26" l="1"/>
  <c r="I120" i="26" s="1"/>
  <c r="H121" i="26" l="1"/>
  <c r="I121" i="26" s="1"/>
  <c r="H122" i="26" l="1"/>
  <c r="I122" i="26" s="1"/>
  <c r="H123" i="26" l="1"/>
  <c r="I123" i="26" s="1"/>
  <c r="H124" i="26" l="1"/>
  <c r="I124" i="26" s="1"/>
  <c r="H125" i="26" l="1"/>
  <c r="I125" i="26" s="1"/>
  <c r="H126" i="26" l="1"/>
  <c r="I126" i="26" s="1"/>
  <c r="H127" i="26" l="1"/>
  <c r="I127" i="26" s="1"/>
  <c r="H128" i="26" l="1"/>
  <c r="I128" i="26" s="1"/>
  <c r="H129" i="26" l="1"/>
  <c r="I129" i="26" s="1"/>
  <c r="H130" i="26" l="1"/>
  <c r="I130" i="26" s="1"/>
  <c r="H131" i="26" l="1"/>
  <c r="I131" i="26" s="1"/>
  <c r="H132" i="26" l="1"/>
  <c r="I132" i="26" s="1"/>
  <c r="H133" i="26" l="1"/>
  <c r="I133" i="26" s="1"/>
  <c r="H134" i="26" l="1"/>
  <c r="I134" i="26" s="1"/>
  <c r="H135" i="26" l="1"/>
  <c r="I135" i="26" s="1"/>
  <c r="H136" i="26" l="1"/>
  <c r="I136" i="26" s="1"/>
  <c r="H137" i="26" l="1"/>
  <c r="I137" i="26" s="1"/>
  <c r="H138" i="26" l="1"/>
  <c r="I138" i="26" s="1"/>
  <c r="H139" i="26" l="1"/>
  <c r="I139" i="26" s="1"/>
  <c r="H140" i="26" l="1"/>
  <c r="I140" i="26" s="1"/>
  <c r="H141" i="26" l="1"/>
  <c r="I141" i="26" s="1"/>
  <c r="H142" i="26" l="1"/>
  <c r="I142" i="26" s="1"/>
  <c r="H143" i="26" l="1"/>
  <c r="I143" i="26" s="1"/>
  <c r="H144" i="26" l="1"/>
  <c r="I144" i="26" s="1"/>
  <c r="H145" i="26" l="1"/>
  <c r="I145" i="26" s="1"/>
  <c r="H146" i="26" l="1"/>
  <c r="I146" i="26" s="1"/>
  <c r="H147" i="26" l="1"/>
  <c r="I147" i="26" s="1"/>
  <c r="H148" i="26" l="1"/>
  <c r="I148" i="26" s="1"/>
  <c r="H149" i="26" l="1"/>
  <c r="I149" i="26" s="1"/>
  <c r="H150" i="26" l="1"/>
  <c r="I150" i="26" s="1"/>
  <c r="H151" i="26" l="1"/>
  <c r="I151" i="26" s="1"/>
  <c r="H152" i="26" l="1"/>
  <c r="I152" i="26" s="1"/>
  <c r="H153" i="26" l="1"/>
  <c r="I153" i="26" s="1"/>
  <c r="H154" i="26" l="1"/>
  <c r="I154" i="26" s="1"/>
  <c r="H155" i="26" l="1"/>
  <c r="I155" i="26" s="1"/>
  <c r="H156" i="26" l="1"/>
  <c r="I156" i="26" s="1"/>
  <c r="H157" i="26" l="1"/>
  <c r="I157" i="26" s="1"/>
  <c r="H158" i="26" l="1"/>
  <c r="I158" i="26" s="1"/>
  <c r="H159" i="26" l="1"/>
  <c r="I159" i="26" s="1"/>
  <c r="H160" i="26" l="1"/>
  <c r="I160" i="26" s="1"/>
  <c r="H161" i="26" l="1"/>
  <c r="I161" i="26" s="1"/>
  <c r="H162" i="26" l="1"/>
  <c r="I162" i="26" s="1"/>
  <c r="H163" i="26" l="1"/>
  <c r="I163" i="26" s="1"/>
  <c r="H164" i="26" l="1"/>
  <c r="I164" i="26" s="1"/>
  <c r="H165" i="26" l="1"/>
  <c r="I165" i="26" s="1"/>
  <c r="H166" i="26" l="1"/>
  <c r="I166" i="26" s="1"/>
  <c r="H167" i="26" l="1"/>
  <c r="I167" i="26" s="1"/>
  <c r="H168" i="26" l="1"/>
  <c r="I168" i="26" s="1"/>
  <c r="H169" i="26" l="1"/>
  <c r="I169" i="26" s="1"/>
  <c r="H170" i="26" l="1"/>
  <c r="I170" i="26" s="1"/>
  <c r="H171" i="26" l="1"/>
  <c r="I171" i="26" s="1"/>
  <c r="H172" i="26" l="1"/>
  <c r="I172" i="26" s="1"/>
  <c r="H173" i="26" l="1"/>
  <c r="I173" i="26" s="1"/>
  <c r="H174" i="26" l="1"/>
  <c r="I174" i="26" s="1"/>
  <c r="H175" i="26" l="1"/>
  <c r="I175" i="26" s="1"/>
  <c r="H176" i="26" l="1"/>
  <c r="I176" i="26" s="1"/>
  <c r="H177" i="26" l="1"/>
  <c r="I177" i="26" s="1"/>
  <c r="H178" i="26" l="1"/>
  <c r="I178" i="26" s="1"/>
  <c r="H179" i="26" l="1"/>
  <c r="I179" i="26" s="1"/>
  <c r="H180" i="26" l="1"/>
  <c r="I180" i="26" s="1"/>
  <c r="H181" i="26" l="1"/>
  <c r="I181" i="26" s="1"/>
  <c r="H182" i="26" l="1"/>
  <c r="I182" i="26" s="1"/>
  <c r="H183" i="26" l="1"/>
  <c r="I183" i="26" s="1"/>
  <c r="H184" i="26" l="1"/>
  <c r="I184" i="26" s="1"/>
  <c r="H185" i="26" l="1"/>
  <c r="I185" i="26" s="1"/>
  <c r="H186" i="26" l="1"/>
  <c r="I186" i="26" s="1"/>
  <c r="P3" i="26" s="1"/>
  <c r="H187" i="26" l="1"/>
  <c r="I187" i="26" s="1"/>
  <c r="O3" i="26"/>
  <c r="O4" i="26" s="1"/>
  <c r="P4" i="26"/>
  <c r="H188" i="26" l="1"/>
  <c r="I188" i="26" s="1"/>
  <c r="H189" i="26" l="1"/>
  <c r="I189" i="26" s="1"/>
  <c r="H190" i="26" l="1"/>
  <c r="I190" i="26" s="1"/>
  <c r="H191" i="26" l="1"/>
  <c r="I191" i="26" s="1"/>
  <c r="H192" i="26" l="1"/>
  <c r="I192" i="26" s="1"/>
  <c r="H193" i="26" l="1"/>
  <c r="I193" i="26" s="1"/>
  <c r="H194" i="26" l="1"/>
  <c r="I194" i="26" s="1"/>
  <c r="H195" i="26" l="1"/>
  <c r="I195" i="26" s="1"/>
  <c r="H196" i="26" l="1"/>
  <c r="I196" i="26" s="1"/>
  <c r="H197" i="26" l="1"/>
  <c r="I197" i="26" s="1"/>
  <c r="H198" i="26" l="1"/>
  <c r="I198" i="26" s="1"/>
  <c r="H199" i="26" l="1"/>
  <c r="I199" i="26" s="1"/>
  <c r="H200" i="26" l="1"/>
  <c r="I200" i="26" s="1"/>
  <c r="H201" i="26" l="1"/>
  <c r="I201" i="26" s="1"/>
  <c r="H202" i="26" l="1"/>
  <c r="I202" i="26" s="1"/>
  <c r="H203" i="26" l="1"/>
  <c r="I203" i="26" s="1"/>
  <c r="H204" i="26" l="1"/>
  <c r="I204" i="26" s="1"/>
  <c r="H205" i="26" l="1"/>
  <c r="I205" i="26" s="1"/>
  <c r="H206" i="26" l="1"/>
  <c r="I206" i="26" s="1"/>
  <c r="H207" i="26" l="1"/>
  <c r="I207" i="26" s="1"/>
  <c r="H208" i="26" l="1"/>
  <c r="I208" i="26" s="1"/>
  <c r="H209" i="26" l="1"/>
  <c r="I209" i="26" s="1"/>
  <c r="H210" i="26" l="1"/>
  <c r="I210" i="26" s="1"/>
  <c r="H211" i="26" l="1"/>
  <c r="I211" i="26" s="1"/>
  <c r="H212" i="26" l="1"/>
  <c r="I212" i="26" s="1"/>
  <c r="H213" i="26" l="1"/>
  <c r="I213" i="26" s="1"/>
  <c r="H214" i="26" l="1"/>
  <c r="I214" i="26" s="1"/>
  <c r="H215" i="26" l="1"/>
  <c r="I215" i="26" s="1"/>
  <c r="H216" i="26" l="1"/>
  <c r="I216" i="26" s="1"/>
  <c r="H217" i="26" l="1"/>
  <c r="I217" i="26" s="1"/>
  <c r="H218" i="26" l="1"/>
  <c r="I218" i="26" s="1"/>
  <c r="H219" i="26" l="1"/>
  <c r="I219" i="26" s="1"/>
  <c r="H220" i="26" l="1"/>
  <c r="I220" i="26" s="1"/>
  <c r="H221" i="26" l="1"/>
  <c r="I221" i="26" s="1"/>
  <c r="H222" i="26" l="1"/>
  <c r="I222" i="26" s="1"/>
  <c r="H223" i="26" l="1"/>
  <c r="I223" i="26" s="1"/>
  <c r="H224" i="26" l="1"/>
  <c r="I224" i="26" s="1"/>
  <c r="H225" i="26" l="1"/>
  <c r="I225" i="26" s="1"/>
  <c r="H226" i="26" l="1"/>
  <c r="I226" i="26" s="1"/>
  <c r="H227" i="26" l="1"/>
  <c r="I227" i="26" s="1"/>
  <c r="H228" i="26" l="1"/>
  <c r="I228" i="26" s="1"/>
  <c r="H229" i="26" l="1"/>
  <c r="I229" i="26" s="1"/>
  <c r="H230" i="26" l="1"/>
  <c r="I230" i="26" s="1"/>
  <c r="H231" i="26" l="1"/>
  <c r="I231" i="26" s="1"/>
  <c r="H232" i="26" l="1"/>
  <c r="I232" i="26" s="1"/>
  <c r="H233" i="26" l="1"/>
  <c r="I233" i="26" s="1"/>
  <c r="H234" i="26" l="1"/>
  <c r="I234" i="26" s="1"/>
  <c r="H235" i="26" l="1"/>
  <c r="I235" i="26" s="1"/>
  <c r="H236" i="26" l="1"/>
  <c r="I236" i="26" s="1"/>
  <c r="H237" i="26" l="1"/>
  <c r="I237" i="26" s="1"/>
  <c r="H238" i="26" l="1"/>
  <c r="I238" i="26" s="1"/>
  <c r="H239" i="26" l="1"/>
  <c r="I239" i="26" s="1"/>
  <c r="H240" i="26" l="1"/>
  <c r="I240" i="26" s="1"/>
  <c r="H241" i="26" l="1"/>
  <c r="I241" i="26" s="1"/>
  <c r="H242" i="26" l="1"/>
  <c r="I242" i="26" s="1"/>
  <c r="H243" i="26" l="1"/>
  <c r="I243" i="26" s="1"/>
  <c r="H244" i="26" l="1"/>
  <c r="I244" i="26" s="1"/>
  <c r="H245" i="26" l="1"/>
  <c r="I245" i="26" s="1"/>
  <c r="H246" i="26" l="1"/>
  <c r="I246" i="26" s="1"/>
  <c r="H247" i="26" l="1"/>
  <c r="I247" i="26" s="1"/>
  <c r="H248" i="26" l="1"/>
  <c r="I248" i="26" s="1"/>
  <c r="H249" i="26" l="1"/>
  <c r="I249" i="26" s="1"/>
  <c r="H250" i="26" l="1"/>
  <c r="I250" i="26" s="1"/>
  <c r="H251" i="26" l="1"/>
  <c r="I251" i="26" s="1"/>
  <c r="H252" i="26" l="1"/>
  <c r="I252" i="26" s="1"/>
  <c r="H253" i="26" l="1"/>
  <c r="I253" i="26" s="1"/>
  <c r="H254" i="26" l="1"/>
  <c r="I254" i="26" s="1"/>
  <c r="H255" i="26" l="1"/>
  <c r="I255" i="26" s="1"/>
  <c r="H256" i="26" l="1"/>
  <c r="I256" i="26" s="1"/>
  <c r="H257" i="26" l="1"/>
  <c r="I257" i="26" s="1"/>
  <c r="H258" i="26" l="1"/>
  <c r="I258" i="26" s="1"/>
  <c r="H259" i="26" l="1"/>
  <c r="I259" i="26" s="1"/>
  <c r="H260" i="26" l="1"/>
  <c r="I260" i="26" s="1"/>
  <c r="H261" i="26" l="1"/>
  <c r="I261" i="26" s="1"/>
  <c r="H262" i="26" l="1"/>
  <c r="I262" i="26" s="1"/>
  <c r="H263" i="26" l="1"/>
  <c r="I263" i="26" s="1"/>
  <c r="H264" i="26" l="1"/>
  <c r="I264" i="26" s="1"/>
  <c r="H265" i="26" l="1"/>
  <c r="I265" i="26" s="1"/>
  <c r="H266" i="26" l="1"/>
  <c r="I266" i="26" s="1"/>
  <c r="H267" i="26" l="1"/>
  <c r="I267" i="26" s="1"/>
  <c r="H268" i="26" l="1"/>
  <c r="I268" i="26" s="1"/>
  <c r="H269" i="26" l="1"/>
  <c r="I269" i="26" s="1"/>
  <c r="H270" i="26" l="1"/>
  <c r="I270" i="26" s="1"/>
  <c r="H271" i="26" l="1"/>
  <c r="I271" i="26" s="1"/>
  <c r="H272" i="26" l="1"/>
  <c r="I272" i="26" s="1"/>
  <c r="H273" i="26" l="1"/>
  <c r="I273" i="26" s="1"/>
  <c r="H274" i="26" l="1"/>
  <c r="I274" i="26" s="1"/>
  <c r="H275" i="26" l="1"/>
  <c r="I275" i="26" s="1"/>
  <c r="H276" i="26" l="1"/>
  <c r="I276" i="26" s="1"/>
  <c r="H277" i="26" l="1"/>
  <c r="I277" i="26" s="1"/>
  <c r="H278" i="26" l="1"/>
  <c r="I278" i="26" s="1"/>
  <c r="H279" i="26" l="1"/>
  <c r="I279" i="26" s="1"/>
  <c r="H280" i="26" l="1"/>
  <c r="I280" i="26" s="1"/>
  <c r="H281" i="26" l="1"/>
  <c r="I281" i="26" s="1"/>
  <c r="H282" i="26" l="1"/>
  <c r="I282" i="26" s="1"/>
  <c r="H283" i="26" l="1"/>
  <c r="I283" i="26" s="1"/>
  <c r="H284" i="26" l="1"/>
  <c r="I284" i="26" s="1"/>
  <c r="H285" i="26" l="1"/>
  <c r="I285" i="26" s="1"/>
  <c r="H286" i="26" l="1"/>
  <c r="I286" i="26" s="1"/>
  <c r="H287" i="26" l="1"/>
  <c r="I287" i="26" s="1"/>
  <c r="H288" i="26" l="1"/>
  <c r="I288" i="26" s="1"/>
  <c r="H289" i="26" l="1"/>
  <c r="I289" i="26" s="1"/>
  <c r="H290" i="26" l="1"/>
  <c r="I290" i="26" s="1"/>
  <c r="H291" i="26" l="1"/>
  <c r="I291" i="26" s="1"/>
  <c r="H292" i="26" l="1"/>
  <c r="I292" i="26" s="1"/>
  <c r="H293" i="26" l="1"/>
  <c r="I293" i="26" s="1"/>
  <c r="H294" i="26" l="1"/>
  <c r="I294" i="26" s="1"/>
  <c r="H295" i="26" l="1"/>
  <c r="I295" i="26" s="1"/>
  <c r="H296" i="26" l="1"/>
  <c r="I296" i="26" s="1"/>
  <c r="H297" i="26" l="1"/>
  <c r="I297" i="26" s="1"/>
  <c r="H298" i="26" l="1"/>
  <c r="I298" i="26" s="1"/>
  <c r="H299" i="26" l="1"/>
  <c r="I299" i="26" s="1"/>
  <c r="H300" i="26" l="1"/>
  <c r="I300" i="26" s="1"/>
  <c r="H301" i="26" l="1"/>
  <c r="I301" i="26" s="1"/>
  <c r="H302" i="26" l="1"/>
  <c r="I302" i="26" s="1"/>
  <c r="H303" i="26" l="1"/>
  <c r="I303" i="26" s="1"/>
  <c r="H304" i="26" l="1"/>
  <c r="I304" i="26" s="1"/>
  <c r="H305" i="26" l="1"/>
  <c r="I305" i="26" s="1"/>
  <c r="H306" i="26" l="1"/>
  <c r="I306" i="26" s="1"/>
  <c r="H307" i="26" l="1"/>
  <c r="I307" i="26" s="1"/>
  <c r="H308" i="26" l="1"/>
  <c r="I308" i="26" s="1"/>
  <c r="H309" i="26" l="1"/>
  <c r="I309" i="26" s="1"/>
  <c r="H310" i="26" l="1"/>
  <c r="I310" i="26" s="1"/>
  <c r="H311" i="26" l="1"/>
  <c r="I311" i="26" s="1"/>
  <c r="H312" i="26" l="1"/>
  <c r="I312" i="26" s="1"/>
  <c r="H313" i="26" l="1"/>
  <c r="I313" i="26" s="1"/>
  <c r="H314" i="26" l="1"/>
  <c r="I314" i="26" s="1"/>
  <c r="H315" i="26" l="1"/>
  <c r="I315" i="26" s="1"/>
  <c r="H316" i="26" l="1"/>
  <c r="I316" i="26" s="1"/>
  <c r="H317" i="26" l="1"/>
  <c r="I317" i="26" s="1"/>
  <c r="H318" i="26" l="1"/>
  <c r="I318" i="26" s="1"/>
  <c r="H319" i="26" l="1"/>
  <c r="I319" i="26" s="1"/>
  <c r="H320" i="26" l="1"/>
  <c r="I320" i="26" s="1"/>
  <c r="H321" i="26" l="1"/>
  <c r="I321" i="26" s="1"/>
  <c r="H322" i="26" l="1"/>
  <c r="I322" i="26" s="1"/>
  <c r="H323" i="26" l="1"/>
  <c r="I323" i="26" s="1"/>
  <c r="H324" i="26" l="1"/>
  <c r="I324" i="26" s="1"/>
  <c r="H325" i="26" l="1"/>
  <c r="I325" i="26" s="1"/>
  <c r="H326" i="26" l="1"/>
  <c r="I326" i="26" s="1"/>
  <c r="H327" i="26" l="1"/>
  <c r="I327" i="26" s="1"/>
  <c r="H328" i="26" l="1"/>
  <c r="I328" i="26" s="1"/>
  <c r="H329" i="26" l="1"/>
  <c r="I329" i="26" s="1"/>
  <c r="H330" i="26" l="1"/>
  <c r="I330" i="26" s="1"/>
  <c r="H331" i="26" l="1"/>
  <c r="I331" i="26" s="1"/>
  <c r="H332" i="26" l="1"/>
  <c r="I332" i="26" s="1"/>
  <c r="H333" i="26" l="1"/>
  <c r="I333" i="26" s="1"/>
  <c r="H334" i="26" l="1"/>
  <c r="I334" i="26" s="1"/>
  <c r="H335" i="26" l="1"/>
  <c r="I335" i="26" s="1"/>
  <c r="H336" i="26" l="1"/>
  <c r="I336" i="26" s="1"/>
  <c r="H337" i="26" l="1"/>
  <c r="I337" i="26" s="1"/>
  <c r="H338" i="26" l="1"/>
  <c r="I338" i="26" s="1"/>
  <c r="H339" i="26" l="1"/>
  <c r="I339" i="26" s="1"/>
  <c r="H340" i="26" l="1"/>
  <c r="I340" i="26" s="1"/>
  <c r="H341" i="26" l="1"/>
  <c r="I341" i="26" s="1"/>
  <c r="H342" i="26" l="1"/>
  <c r="I342" i="26" s="1"/>
  <c r="H343" i="26" l="1"/>
  <c r="I343" i="26" s="1"/>
  <c r="H344" i="26" l="1"/>
  <c r="I344" i="26" s="1"/>
  <c r="H345" i="26" l="1"/>
  <c r="I345" i="26" s="1"/>
  <c r="H346" i="26" l="1"/>
  <c r="I346" i="26" s="1"/>
  <c r="H347" i="26" l="1"/>
  <c r="I347" i="26" s="1"/>
  <c r="H348" i="26" l="1"/>
  <c r="I348" i="26" s="1"/>
  <c r="H349" i="26" l="1"/>
  <c r="I349" i="26" s="1"/>
  <c r="H350" i="26" l="1"/>
  <c r="I350" i="26" s="1"/>
  <c r="H351" i="26" l="1"/>
  <c r="I351" i="26" s="1"/>
  <c r="H352" i="26" l="1"/>
  <c r="I352" i="26" s="1"/>
  <c r="H353" i="26" l="1"/>
  <c r="I353" i="26" s="1"/>
  <c r="H354" i="26" l="1"/>
  <c r="I354" i="26" s="1"/>
  <c r="H355" i="26" l="1"/>
  <c r="I355" i="26" s="1"/>
  <c r="H356" i="26" l="1"/>
  <c r="I356" i="26" s="1"/>
  <c r="H357" i="26" l="1"/>
  <c r="I357" i="26" s="1"/>
  <c r="H358" i="26" l="1"/>
  <c r="I358" i="26" s="1"/>
  <c r="H359" i="26" l="1"/>
  <c r="I359" i="26" s="1"/>
  <c r="H360" i="26" l="1"/>
  <c r="I360" i="26" s="1"/>
  <c r="H361" i="26" l="1"/>
  <c r="I361" i="26" s="1"/>
  <c r="H362" i="26" l="1"/>
  <c r="I362" i="26" s="1"/>
  <c r="H363" i="26" l="1"/>
  <c r="I363" i="26" s="1"/>
  <c r="H364" i="26" l="1"/>
  <c r="I364" i="26" s="1"/>
  <c r="H365" i="26" l="1"/>
  <c r="I365" i="26" s="1"/>
  <c r="H366" i="26" l="1"/>
  <c r="I366" i="26" s="1"/>
  <c r="H367" i="26" l="1"/>
  <c r="I367" i="26" s="1"/>
  <c r="H368" i="26" l="1"/>
  <c r="I368" i="26" s="1"/>
  <c r="H369" i="26" l="1"/>
  <c r="I369" i="26" s="1"/>
  <c r="H370" i="26" l="1"/>
  <c r="I370" i="26" s="1"/>
  <c r="H371" i="26" l="1"/>
  <c r="I371" i="26" s="1"/>
  <c r="H372" i="26" l="1"/>
  <c r="I372" i="26" s="1"/>
  <c r="H373" i="26" l="1"/>
  <c r="I373" i="26" s="1"/>
  <c r="H374" i="26" l="1"/>
  <c r="I374" i="26" s="1"/>
  <c r="H375" i="26" l="1"/>
  <c r="I375" i="26" s="1"/>
  <c r="H376" i="26" l="1"/>
  <c r="I376" i="26" s="1"/>
  <c r="H377" i="26" l="1"/>
  <c r="I377" i="26" s="1"/>
  <c r="H378" i="26" l="1"/>
  <c r="I378" i="26" s="1"/>
  <c r="H379" i="26" l="1"/>
  <c r="I379" i="26" s="1"/>
  <c r="H380" i="26" l="1"/>
  <c r="I380" i="26" s="1"/>
  <c r="H381" i="26" l="1"/>
  <c r="I381" i="26" s="1"/>
  <c r="H382" i="26" l="1"/>
  <c r="I382" i="26" s="1"/>
  <c r="H383" i="26" l="1"/>
  <c r="I383" i="26" s="1"/>
  <c r="H384" i="26" l="1"/>
  <c r="I384" i="26" s="1"/>
  <c r="H385" i="26" l="1"/>
  <c r="I385" i="26" s="1"/>
  <c r="H386" i="26" l="1"/>
  <c r="I386" i="26" s="1"/>
  <c r="H387" i="26" l="1"/>
  <c r="I387" i="26" s="1"/>
  <c r="H388" i="26" l="1"/>
  <c r="I388" i="26" s="1"/>
  <c r="H389" i="26" l="1"/>
  <c r="I389" i="26" s="1"/>
  <c r="H390" i="26" l="1"/>
  <c r="I390" i="26" s="1"/>
  <c r="H391" i="26" l="1"/>
  <c r="I391" i="26" s="1"/>
  <c r="H392" i="26" l="1"/>
  <c r="I392" i="26" s="1"/>
  <c r="H393" i="26" l="1"/>
  <c r="I393" i="26" s="1"/>
  <c r="H394" i="26" l="1"/>
  <c r="I394" i="26" s="1"/>
  <c r="H395" i="26" l="1"/>
  <c r="I395" i="26" s="1"/>
  <c r="H396" i="26" l="1"/>
  <c r="I396" i="26" s="1"/>
  <c r="H397" i="26" l="1"/>
  <c r="I397" i="26" s="1"/>
  <c r="H398" i="26" l="1"/>
  <c r="I398" i="26" s="1"/>
  <c r="H399" i="26" l="1"/>
  <c r="I399" i="26" s="1"/>
  <c r="H400" i="26" l="1"/>
  <c r="I400" i="26" s="1"/>
  <c r="H401" i="26" l="1"/>
  <c r="I401" i="26" s="1"/>
  <c r="H402" i="26" l="1"/>
  <c r="I402" i="26" s="1"/>
  <c r="H403" i="26" l="1"/>
  <c r="I403" i="26" s="1"/>
  <c r="H404" i="26" l="1"/>
  <c r="I404" i="26" s="1"/>
  <c r="H405" i="26" l="1"/>
  <c r="I405" i="26" s="1"/>
  <c r="H406" i="26" l="1"/>
  <c r="I406" i="26" s="1"/>
  <c r="H407" i="26" l="1"/>
  <c r="I407" i="26" s="1"/>
  <c r="H408" i="26" l="1"/>
  <c r="I408" i="26" s="1"/>
  <c r="H409" i="26" l="1"/>
  <c r="I409" i="26" s="1"/>
  <c r="H410" i="26" l="1"/>
  <c r="I410" i="26" s="1"/>
  <c r="H411" i="26" l="1"/>
  <c r="I411" i="26" s="1"/>
  <c r="H412" i="26" l="1"/>
  <c r="I412" i="26" s="1"/>
  <c r="H413" i="26" l="1"/>
  <c r="I413" i="26" s="1"/>
  <c r="H414" i="26" l="1"/>
  <c r="I414" i="26" s="1"/>
  <c r="H415" i="26"/>
  <c r="I415" i="26" l="1"/>
  <c r="L4" i="26"/>
  <c r="L5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<sst xmlns="http://schemas.openxmlformats.org/spreadsheetml/2006/main" count="247" uniqueCount="90">
  <si>
    <t>Part num</t>
  </si>
  <si>
    <t>Part Size (Ft^3)</t>
  </si>
  <si>
    <t>Part cost</t>
  </si>
  <si>
    <t>Annual Use</t>
  </si>
  <si>
    <t>Avg Annual Use</t>
  </si>
  <si>
    <t>Revisit Cost</t>
  </si>
  <si>
    <t>Total Cost</t>
  </si>
  <si>
    <t>Stocked?</t>
  </si>
  <si>
    <t>Total Holding Cost</t>
  </si>
  <si>
    <t>Total Revist Cost</t>
  </si>
  <si>
    <t>Total Space Occupied</t>
  </si>
  <si>
    <t>Holding Costs</t>
  </si>
  <si>
    <t>Number of parts</t>
  </si>
  <si>
    <t>Case 2: Test Optimization</t>
  </si>
  <si>
    <t>Number of parts stocked</t>
  </si>
  <si>
    <t>Total Space occupied</t>
  </si>
  <si>
    <t>Fixed Part Percentage</t>
  </si>
  <si>
    <t>Percentage difference of total cost from optimum cost</t>
  </si>
  <si>
    <t>Heuristic 1</t>
  </si>
  <si>
    <t>Heuristic 2</t>
  </si>
  <si>
    <t>Heuristic 3</t>
  </si>
  <si>
    <t>Total Costs</t>
  </si>
  <si>
    <t>Rules Applied</t>
  </si>
  <si>
    <t>Optimum Solution</t>
  </si>
  <si>
    <t>Case 3, Heuristic 1: Stocking the smallest parts</t>
  </si>
  <si>
    <t>Case 3, Heuristic 2: Stocking the lowest cost parts</t>
  </si>
  <si>
    <t>Case 3, Heuristic 3: Stocking the most demanded parts</t>
  </si>
  <si>
    <t>Case 3, Own Heuristic 1: Stocking the highest revisit cost, lowest holding costs, lowest part size parts</t>
  </si>
  <si>
    <t>Case 3, Own Heuristic 2: Stocking the highest revisit cost, and lowest part size parts</t>
  </si>
  <si>
    <t>Case 3, Own Heuristic 3: Stocking the highest revisit cost, highest annual use and lowest part size parts</t>
  </si>
  <si>
    <t>Developed Heuristic 1</t>
  </si>
  <si>
    <t>Developed Heuristic 2</t>
  </si>
  <si>
    <t>Developed Heuristic 3</t>
  </si>
  <si>
    <t>Net Benefit</t>
  </si>
  <si>
    <t>Net Benefit per cubic foot</t>
  </si>
  <si>
    <t>Remaining Space</t>
  </si>
  <si>
    <t>Total Net Benefit per cubic foot</t>
  </si>
  <si>
    <t>Total Net Benefit per Cubic foot</t>
  </si>
  <si>
    <t>Fix-it first Percentage</t>
  </si>
  <si>
    <t>Fix-it First Percentage</t>
  </si>
  <si>
    <t>Total Net Benefit per Cubic foot %</t>
  </si>
  <si>
    <t>Costs %</t>
  </si>
  <si>
    <t>Applying Developed Heuristic 2: Stocking the highest revisit cost, lowest part size parts, to the whole dataset</t>
  </si>
  <si>
    <t>Replenishment</t>
  </si>
  <si>
    <t>Revisit Costs (Randomized)</t>
  </si>
  <si>
    <t>Total Randomized Revist Cost</t>
  </si>
  <si>
    <t>Fix-it first percentage</t>
  </si>
  <si>
    <t>Data Table</t>
  </si>
  <si>
    <t>Fix-it first %</t>
  </si>
  <si>
    <t>Minimum Value</t>
  </si>
  <si>
    <t>Maximum Value</t>
  </si>
  <si>
    <t>Standard Deviation</t>
  </si>
  <si>
    <t>Average Costs</t>
  </si>
  <si>
    <t>Count</t>
  </si>
  <si>
    <t>95% Confidence Interval</t>
  </si>
  <si>
    <t>Fix-it First %</t>
  </si>
  <si>
    <t>Bin</t>
  </si>
  <si>
    <t>Frequency</t>
  </si>
  <si>
    <t>Fix-it First % Distribution</t>
  </si>
  <si>
    <t>Total Costs Distribution</t>
  </si>
  <si>
    <t>Average %</t>
  </si>
  <si>
    <t>95% Tolerance Interval</t>
  </si>
  <si>
    <t>Part Size</t>
  </si>
  <si>
    <t>NewPart num</t>
  </si>
  <si>
    <t>Original Recommendation number of parts</t>
  </si>
  <si>
    <t>Number of parts stocked (New)</t>
  </si>
  <si>
    <t>Confidence %</t>
  </si>
  <si>
    <t>Total Space Occupied (Original)</t>
  </si>
  <si>
    <t>Total Space Occupied (New)</t>
  </si>
  <si>
    <t>Randomized Demand</t>
  </si>
  <si>
    <t>Original stock recommendation</t>
  </si>
  <si>
    <t>Stocked? (New)</t>
  </si>
  <si>
    <t>If Original and New stock are same?</t>
  </si>
  <si>
    <t>Match</t>
  </si>
  <si>
    <t>Difference</t>
  </si>
  <si>
    <t>%</t>
  </si>
  <si>
    <t>No: of parts</t>
  </si>
  <si>
    <t>91% - 100%</t>
  </si>
  <si>
    <t xml:space="preserve">Bins </t>
  </si>
  <si>
    <t>Elaborated Bins</t>
  </si>
  <si>
    <t>81% - 90%</t>
  </si>
  <si>
    <t>71% - 80%</t>
  </si>
  <si>
    <t>61% - 70%</t>
  </si>
  <si>
    <t>51% - 60%</t>
  </si>
  <si>
    <t>41% - 50%</t>
  </si>
  <si>
    <t>31% - 40%</t>
  </si>
  <si>
    <t>21% - 30%</t>
  </si>
  <si>
    <t>11% - 20%</t>
  </si>
  <si>
    <t>1% - 10%</t>
  </si>
  <si>
    <t>Note: Implement macro, fix freq tables and see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</si>
</sst>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FBFBF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43" fontId="0" fillId="0" borderId="0" xfId="1" applyFont="1"/>
    <xf numFmtId="44" fontId="0" fillId="0" borderId="0" xfId="0" applyNumberFormat="1"/>
    <xf numFmtId="43" fontId="0" fillId="0" borderId="0" xfId="0" applyNumberFormat="1"/>
    <xf numFmtId="0" fontId="0" fillId="2" borderId="0" xfId="0" applyFill="1"/>
    <xf numFmtId="43" fontId="0" fillId="2" borderId="0" xfId="1" applyFont="1" applyFill="1"/>
    <xf numFmtId="44" fontId="0" fillId="2" borderId="0" xfId="2" applyFont="1" applyFill="1"/>
    <xf numFmtId="44" fontId="0" fillId="0" borderId="0" xfId="2" applyFont="1" applyFill="1"/>
    <xf numFmtId="43" fontId="0" fillId="0" borderId="0" xfId="1" applyFont="1" applyFill="1"/>
    <xf numFmtId="44" fontId="0" fillId="0" borderId="0" xfId="2" applyFont="1"/>
    <xf numFmtId="0" fontId="0" fillId="0" borderId="1" xfId="0" applyBorder="1"/>
    <xf numFmtId="44" fontId="0" fillId="0" borderId="1" xfId="2" applyFont="1" applyBorder="1"/>
    <xf numFmtId="0" fontId="0" fillId="3" borderId="0" xfId="0" applyFill="1"/>
    <xf numFmtId="0" fontId="2" fillId="0" borderId="0" xfId="0" applyFont="1"/>
    <xf numFmtId="44" fontId="0" fillId="0" borderId="1" xfId="0" applyNumberFormat="1" applyBorder="1"/>
    <xf numFmtId="0" fontId="2" fillId="2" borderId="0" xfId="0" applyFont="1" applyFill="1"/>
    <xf numFmtId="44" fontId="2" fillId="4" borderId="1" xfId="0" applyNumberFormat="1" applyFont="1" applyFill="1" applyBorder="1"/>
    <xf numFmtId="2" fontId="2" fillId="2" borderId="1" xfId="0" applyNumberFormat="1" applyFont="1" applyFill="1" applyBorder="1"/>
    <xf numFmtId="2" fontId="2" fillId="2" borderId="0" xfId="0" applyNumberFormat="1" applyFont="1" applyFill="1"/>
    <xf numFmtId="44" fontId="2" fillId="4" borderId="1" xfId="2" applyFont="1" applyFill="1" applyBorder="1"/>
    <xf numFmtId="44" fontId="2" fillId="0" borderId="0" xfId="0" applyNumberFormat="1" applyFont="1"/>
    <xf numFmtId="2" fontId="2" fillId="0" borderId="0" xfId="0" applyNumberFormat="1" applyFont="1"/>
    <xf numFmtId="9" fontId="0" fillId="0" borderId="1" xfId="3" applyFont="1" applyBorder="1"/>
    <xf numFmtId="10" fontId="0" fillId="0" borderId="1" xfId="3" applyNumberFormat="1" applyFont="1" applyBorder="1"/>
    <xf numFmtId="164" fontId="0" fillId="0" borderId="1" xfId="3" applyNumberFormat="1" applyFont="1" applyBorder="1"/>
    <xf numFmtId="9" fontId="0" fillId="0" borderId="0" xfId="0" applyNumberFormat="1"/>
    <xf numFmtId="9" fontId="0" fillId="0" borderId="0" xfId="3" applyFont="1"/>
    <xf numFmtId="2" fontId="0" fillId="0" borderId="0" xfId="0" applyNumberFormat="1"/>
    <xf numFmtId="0" fontId="0" fillId="2" borderId="0" xfId="0" applyFill="1" applyAlignment="1">
      <alignment horizontal="center"/>
    </xf>
    <xf numFmtId="43" fontId="0" fillId="2" borderId="0" xfId="1" applyFont="1" applyFill="1" applyAlignment="1">
      <alignment horizontal="center"/>
    </xf>
    <xf numFmtId="4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43" fontId="3" fillId="0" borderId="0" xfId="1" applyFont="1" applyAlignment="1">
      <alignment horizontal="center"/>
    </xf>
    <xf numFmtId="43" fontId="4" fillId="0" borderId="0" xfId="1" applyFont="1" applyAlignment="1">
      <alignment horizontal="center"/>
    </xf>
    <xf numFmtId="2" fontId="0" fillId="0" borderId="1" xfId="3" applyNumberFormat="1" applyFont="1" applyBorder="1"/>
    <xf numFmtId="2" fontId="0" fillId="0" borderId="1" xfId="0" applyNumberFormat="1" applyBorder="1"/>
    <xf numFmtId="165" fontId="0" fillId="0" borderId="1" xfId="3" applyNumberFormat="1" applyFont="1" applyBorder="1"/>
    <xf numFmtId="0" fontId="2" fillId="2" borderId="0" xfId="0" applyFont="1" applyFill="1" applyAlignment="1">
      <alignment horizontal="center" vertical="center"/>
    </xf>
    <xf numFmtId="43" fontId="2" fillId="2" borderId="0" xfId="0" applyNumberFormat="1" applyFont="1" applyFill="1" applyAlignment="1">
      <alignment horizontal="center" vertical="center"/>
    </xf>
    <xf numFmtId="44" fontId="2" fillId="2" borderId="0" xfId="0" applyNumberFormat="1" applyFont="1" applyFill="1" applyAlignment="1">
      <alignment horizontal="center" vertical="center"/>
    </xf>
    <xf numFmtId="44" fontId="2" fillId="2" borderId="0" xfId="2" applyFont="1" applyFill="1" applyAlignment="1">
      <alignment horizontal="center" vertical="center"/>
    </xf>
    <xf numFmtId="43" fontId="2" fillId="2" borderId="0" xfId="1" applyFont="1" applyFill="1" applyAlignment="1">
      <alignment horizontal="center" vertical="center"/>
    </xf>
    <xf numFmtId="44" fontId="2" fillId="2" borderId="0" xfId="2" applyFont="1" applyFill="1" applyAlignment="1">
      <alignment horizontal="center" vertical="center" wrapText="1"/>
    </xf>
    <xf numFmtId="44" fontId="0" fillId="0" borderId="0" xfId="2" applyFont="1" applyAlignment="1">
      <alignment horizontal="center"/>
    </xf>
    <xf numFmtId="0" fontId="0" fillId="0" borderId="0" xfId="0" applyAlignment="1">
      <alignment horizontal="center" vertical="center" wrapText="1"/>
    </xf>
    <xf numFmtId="43" fontId="2" fillId="2" borderId="0" xfId="1" applyFont="1" applyFill="1" applyAlignment="1">
      <alignment horizontal="center" vertical="center" wrapText="1"/>
    </xf>
    <xf numFmtId="0" fontId="5" fillId="0" borderId="0" xfId="0" applyFont="1"/>
    <xf numFmtId="44" fontId="2" fillId="0" borderId="0" xfId="2" applyFont="1"/>
    <xf numFmtId="9" fontId="2" fillId="0" borderId="0" xfId="3" applyFont="1"/>
    <xf numFmtId="44" fontId="0" fillId="0" borderId="3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44" fontId="0" fillId="0" borderId="10" xfId="2" applyFont="1" applyBorder="1"/>
    <xf numFmtId="0" fontId="0" fillId="0" borderId="12" xfId="0" applyBorder="1"/>
    <xf numFmtId="0" fontId="0" fillId="0" borderId="13" xfId="0" applyBorder="1"/>
    <xf numFmtId="9" fontId="0" fillId="0" borderId="10" xfId="0" applyNumberFormat="1" applyBorder="1"/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4" xfId="3" applyFont="1" applyBorder="1"/>
    <xf numFmtId="44" fontId="0" fillId="0" borderId="6" xfId="0" applyNumberFormat="1" applyBorder="1"/>
    <xf numFmtId="0" fontId="0" fillId="0" borderId="17" xfId="0" applyBorder="1"/>
    <xf numFmtId="44" fontId="0" fillId="0" borderId="16" xfId="0" applyNumberFormat="1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 applyAlignment="1">
      <alignment horizontal="center"/>
    </xf>
    <xf numFmtId="9" fontId="0" fillId="0" borderId="16" xfId="0" applyNumberFormat="1" applyBorder="1" applyAlignment="1">
      <alignment horizontal="center"/>
    </xf>
    <xf numFmtId="165" fontId="0" fillId="0" borderId="16" xfId="3" applyNumberFormat="1" applyFont="1" applyBorder="1" applyAlignment="1">
      <alignment horizontal="center"/>
    </xf>
    <xf numFmtId="44" fontId="2" fillId="4" borderId="16" xfId="0" applyNumberFormat="1" applyFont="1" applyFill="1" applyBorder="1" applyAlignment="1">
      <alignment horizontal="center"/>
    </xf>
    <xf numFmtId="44" fontId="2" fillId="5" borderId="16" xfId="2" applyFont="1" applyFill="1" applyBorder="1" applyAlignment="1">
      <alignment horizontal="center"/>
    </xf>
    <xf numFmtId="9" fontId="2" fillId="4" borderId="16" xfId="0" applyNumberFormat="1" applyFont="1" applyFill="1" applyBorder="1" applyAlignment="1">
      <alignment horizontal="center"/>
    </xf>
    <xf numFmtId="9" fontId="2" fillId="5" borderId="16" xfId="3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 applyAlignment="1">
      <alignment horizontal="center"/>
    </xf>
    <xf numFmtId="44" fontId="0" fillId="0" borderId="23" xfId="0" applyNumberFormat="1" applyBorder="1" applyAlignment="1">
      <alignment horizontal="center"/>
    </xf>
    <xf numFmtId="0" fontId="0" fillId="0" borderId="24" xfId="0" applyBorder="1"/>
    <xf numFmtId="9" fontId="0" fillId="0" borderId="23" xfId="3" applyFont="1" applyBorder="1" applyAlignment="1">
      <alignment horizontal="center"/>
    </xf>
    <xf numFmtId="9" fontId="0" fillId="0" borderId="19" xfId="3" applyFont="1" applyBorder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43" fontId="4" fillId="0" borderId="0" xfId="0" applyNumberFormat="1" applyFont="1"/>
    <xf numFmtId="0" fontId="4" fillId="0" borderId="0" xfId="0" applyFont="1"/>
    <xf numFmtId="0" fontId="0" fillId="0" borderId="1" xfId="0" applyBorder="1" applyAlignment="1">
      <alignment wrapText="1"/>
    </xf>
    <xf numFmtId="0" fontId="0" fillId="0" borderId="14" xfId="0" applyBorder="1" applyAlignment="1">
      <alignment horizontal="center"/>
    </xf>
    <xf numFmtId="9" fontId="0" fillId="0" borderId="26" xfId="0" applyNumberFormat="1" applyBorder="1"/>
    <xf numFmtId="0" fontId="0" fillId="0" borderId="14" xfId="0" applyBorder="1"/>
    <xf numFmtId="0" fontId="0" fillId="0" borderId="15" xfId="0" applyBorder="1"/>
    <xf numFmtId="9" fontId="0" fillId="0" borderId="12" xfId="0" applyNumberFormat="1" applyBorder="1"/>
    <xf numFmtId="0" fontId="2" fillId="0" borderId="1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6" xfId="0" applyBorder="1"/>
    <xf numFmtId="9" fontId="0" fillId="0" borderId="10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"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Costs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'Raw Data'!$T$42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'Raw Data'!$S$43:$S$59</c:f>
              <c:numCache>
                <c:formatCode>_("$"* #,##0.00_);_("$"* \(#,##0.00\);_("$"* "-"??_);_(@_)</c:formatCode>
                <c:ptCount val="17"/>
                <c:pt idx="0">
                  <c:v>0</c:v>
                </c:pt>
                <c:pt idx="1">
                  <c:v>19000</c:v>
                </c:pt>
                <c:pt idx="2">
                  <c:v>19500</c:v>
                </c:pt>
                <c:pt idx="3">
                  <c:v>20000</c:v>
                </c:pt>
                <c:pt idx="4">
                  <c:v>20500</c:v>
                </c:pt>
                <c:pt idx="5">
                  <c:v>21000</c:v>
                </c:pt>
                <c:pt idx="6">
                  <c:v>21500</c:v>
                </c:pt>
                <c:pt idx="7">
                  <c:v>22000</c:v>
                </c:pt>
                <c:pt idx="8">
                  <c:v>22500</c:v>
                </c:pt>
                <c:pt idx="9">
                  <c:v>23000</c:v>
                </c:pt>
                <c:pt idx="10">
                  <c:v>23500</c:v>
                </c:pt>
                <c:pt idx="11">
                  <c:v>24000</c:v>
                </c:pt>
                <c:pt idx="12">
                  <c:v>24500</c:v>
                </c:pt>
                <c:pt idx="13">
                  <c:v>25000</c:v>
                </c:pt>
                <c:pt idx="14">
                  <c:v>25500</c:v>
                </c:pt>
                <c:pt idx="15">
                  <c:v>26000</c:v>
                </c:pt>
                <c:pt idx="16">
                  <c:v>26500</c:v>
                </c:pt>
              </c:numCache>
            </c:numRef>
          </c:cat>
          <c:val>
            <c:numRef>
              <c:f>'Raw Data'!$T$43:$T$59</c:f>
              <c:numCache>
                <c:formatCode>General</c:formatCode>
                <c:ptCount val="17"/>
                <c:pt idx="0">
                  <c:v>0</c:v>
                </c:pt>
                <c:pt idx="1">
                  <c:v>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6-42E9-9B6C-3E4B43E28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102032"/>
        <c:axId val="3609840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'Raw Data'!$S$42</c15:sqref>
                        </c15:formulaRef>
                      </c:ext>
                    </c:extLst>
                    <c:strCache>
                      <c:ptCount val="1"/>
                      <c:pt idx="0">
                        <c:v>Bin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'Raw Data'!$S$43:$S$59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7"/>
                      <c:pt idx="0">
                        <c:v>0</c:v>
                      </c:pt>
                      <c:pt idx="1">
                        <c:v>19000</c:v>
                      </c:pt>
                      <c:pt idx="2">
                        <c:v>19500</c:v>
                      </c:pt>
                      <c:pt idx="3">
                        <c:v>20000</c:v>
                      </c:pt>
                      <c:pt idx="4">
                        <c:v>20500</c:v>
                      </c:pt>
                      <c:pt idx="5">
                        <c:v>21000</c:v>
                      </c:pt>
                      <c:pt idx="6">
                        <c:v>21500</c:v>
                      </c:pt>
                      <c:pt idx="7">
                        <c:v>22000</c:v>
                      </c:pt>
                      <c:pt idx="8">
                        <c:v>22500</c:v>
                      </c:pt>
                      <c:pt idx="9">
                        <c:v>23000</c:v>
                      </c:pt>
                      <c:pt idx="10">
                        <c:v>23500</c:v>
                      </c:pt>
                      <c:pt idx="11">
                        <c:v>24000</c:v>
                      </c:pt>
                      <c:pt idx="12">
                        <c:v>24500</c:v>
                      </c:pt>
                      <c:pt idx="13">
                        <c:v>25000</c:v>
                      </c:pt>
                      <c:pt idx="14">
                        <c:v>25500</c:v>
                      </c:pt>
                      <c:pt idx="15">
                        <c:v>26000</c:v>
                      </c:pt>
                      <c:pt idx="16">
                        <c:v>26500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'Raw Data'!$S$43:$S$59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7"/>
                      <c:pt idx="0">
                        <c:v>0</c:v>
                      </c:pt>
                      <c:pt idx="1">
                        <c:v>19000</c:v>
                      </c:pt>
                      <c:pt idx="2">
                        <c:v>19500</c:v>
                      </c:pt>
                      <c:pt idx="3">
                        <c:v>20000</c:v>
                      </c:pt>
                      <c:pt idx="4">
                        <c:v>20500</c:v>
                      </c:pt>
                      <c:pt idx="5">
                        <c:v>21000</c:v>
                      </c:pt>
                      <c:pt idx="6">
                        <c:v>21500</c:v>
                      </c:pt>
                      <c:pt idx="7">
                        <c:v>22000</c:v>
                      </c:pt>
                      <c:pt idx="8">
                        <c:v>22500</c:v>
                      </c:pt>
                      <c:pt idx="9">
                        <c:v>23000</c:v>
                      </c:pt>
                      <c:pt idx="10">
                        <c:v>23500</c:v>
                      </c:pt>
                      <c:pt idx="11">
                        <c:v>24000</c:v>
                      </c:pt>
                      <c:pt idx="12">
                        <c:v>24500</c:v>
                      </c:pt>
                      <c:pt idx="13">
                        <c:v>25000</c:v>
                      </c:pt>
                      <c:pt idx="14">
                        <c:v>25500</c:v>
                      </c:pt>
                      <c:pt idx="15">
                        <c:v>26000</c:v>
                      </c:pt>
                      <c:pt idx="16">
                        <c:v>26500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3E6-42E9-9B6C-3E4B43E283DD}"/>
                  </c:ext>
                </c:extLst>
              </c15:ser>
            </c15:filteredBarSeries>
          </c:ext>
        </c:extLst>
      </c:barChart>
      <c:catAx>
        <c:axId val="1591102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</a:t>
                </a:r>
                <a:r>
                  <a:rPr lang="en-US" baseline="0"/>
                  <a:t>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84048"/>
        <c:crosses val="autoZero"/>
        <c:auto val="1"/>
        <c:lblAlgn val="ctr"/>
        <c:lblOffset val="100"/>
        <c:noMultiLvlLbl val="0"/>
      </c:catAx>
      <c:valAx>
        <c:axId val="36098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10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Fix-it First Percentages</a:t>
            </a:r>
            <a:r>
              <a:rPr lang="en-US" baseline="0"/>
              <a:t>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'Raw Data'!$T$63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'Raw Data'!$S$64:$S$78</c:f>
              <c:numCache>
                <c:formatCode>0%</c:formatCode>
                <c:ptCount val="15"/>
                <c:pt idx="0">
                  <c:v>0</c:v>
                </c:pt>
                <c:pt idx="1">
                  <c:v>7.0000000000000007E-2</c:v>
                </c:pt>
                <c:pt idx="2">
                  <c:v>0.08</c:v>
                </c:pt>
                <c:pt idx="3">
                  <c:v>0.09</c:v>
                </c:pt>
                <c:pt idx="4">
                  <c:v>0.1</c:v>
                </c:pt>
                <c:pt idx="5">
                  <c:v>0.11</c:v>
                </c:pt>
                <c:pt idx="6">
                  <c:v>0.12</c:v>
                </c:pt>
                <c:pt idx="7">
                  <c:v>0.13</c:v>
                </c:pt>
                <c:pt idx="8">
                  <c:v>0.14000000000000001</c:v>
                </c:pt>
                <c:pt idx="9">
                  <c:v>0.15</c:v>
                </c:pt>
                <c:pt idx="10">
                  <c:v>0.16</c:v>
                </c:pt>
                <c:pt idx="11">
                  <c:v>0.17</c:v>
                </c:pt>
                <c:pt idx="12">
                  <c:v>0.18</c:v>
                </c:pt>
                <c:pt idx="13">
                  <c:v>0.19</c:v>
                </c:pt>
                <c:pt idx="14">
                  <c:v>0.2</c:v>
                </c:pt>
              </c:numCache>
            </c:numRef>
          </c:cat>
          <c:val>
            <c:numRef>
              <c:f>'Raw Data'!$T$64:$T$78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9</c:v>
                </c:pt>
                <c:pt idx="4">
                  <c:v>30</c:v>
                </c:pt>
                <c:pt idx="5">
                  <c:v>79</c:v>
                </c:pt>
                <c:pt idx="6">
                  <c:v>57</c:v>
                </c:pt>
                <c:pt idx="7">
                  <c:v>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FA-43E7-9F66-EE08B139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4372368"/>
        <c:axId val="7343728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'Raw Data'!$S$63</c15:sqref>
                        </c15:formulaRef>
                      </c:ext>
                    </c:extLst>
                    <c:strCache>
                      <c:ptCount val="1"/>
                      <c:pt idx="0">
                        <c:v>Bin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'Raw Data'!$S$64:$S$78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7.0000000000000007E-2</c:v>
                      </c:pt>
                      <c:pt idx="2">
                        <c:v>0.08</c:v>
                      </c:pt>
                      <c:pt idx="3">
                        <c:v>0.09</c:v>
                      </c:pt>
                      <c:pt idx="4">
                        <c:v>0.1</c:v>
                      </c:pt>
                      <c:pt idx="5">
                        <c:v>0.11</c:v>
                      </c:pt>
                      <c:pt idx="6">
                        <c:v>0.12</c:v>
                      </c:pt>
                      <c:pt idx="7">
                        <c:v>0.13</c:v>
                      </c:pt>
                      <c:pt idx="8">
                        <c:v>0.14000000000000001</c:v>
                      </c:pt>
                      <c:pt idx="9">
                        <c:v>0.15</c:v>
                      </c:pt>
                      <c:pt idx="10">
                        <c:v>0.16</c:v>
                      </c:pt>
                      <c:pt idx="11">
                        <c:v>0.17</c:v>
                      </c:pt>
                      <c:pt idx="12">
                        <c:v>0.18</c:v>
                      </c:pt>
                      <c:pt idx="13">
                        <c:v>0.19</c:v>
                      </c:pt>
                      <c:pt idx="14">
                        <c:v>0.2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'Raw Data'!$S$64:$S$78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7.0000000000000007E-2</c:v>
                      </c:pt>
                      <c:pt idx="2">
                        <c:v>0.08</c:v>
                      </c:pt>
                      <c:pt idx="3">
                        <c:v>0.09</c:v>
                      </c:pt>
                      <c:pt idx="4">
                        <c:v>0.1</c:v>
                      </c:pt>
                      <c:pt idx="5">
                        <c:v>0.11</c:v>
                      </c:pt>
                      <c:pt idx="6">
                        <c:v>0.12</c:v>
                      </c:pt>
                      <c:pt idx="7">
                        <c:v>0.13</c:v>
                      </c:pt>
                      <c:pt idx="8">
                        <c:v>0.14000000000000001</c:v>
                      </c:pt>
                      <c:pt idx="9">
                        <c:v>0.15</c:v>
                      </c:pt>
                      <c:pt idx="10">
                        <c:v>0.16</c:v>
                      </c:pt>
                      <c:pt idx="11">
                        <c:v>0.17</c:v>
                      </c:pt>
                      <c:pt idx="12">
                        <c:v>0.18</c:v>
                      </c:pt>
                      <c:pt idx="13">
                        <c:v>0.19</c:v>
                      </c:pt>
                      <c:pt idx="14">
                        <c:v>0.2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5FA-43E7-9F66-EE08B139FD12}"/>
                  </c:ext>
                </c:extLst>
              </c15:ser>
            </c15:filteredBarSeries>
          </c:ext>
        </c:extLst>
      </c:barChart>
      <c:catAx>
        <c:axId val="734372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Fix-it</a:t>
                </a:r>
                <a:r>
                  <a:rPr lang="en-US" baseline="0"/>
                  <a:t> First Percentages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72848"/>
        <c:crosses val="autoZero"/>
        <c:auto val="1"/>
        <c:lblAlgn val="ctr"/>
        <c:lblOffset val="100"/>
        <c:noMultiLvlLbl val="0"/>
      </c:catAx>
      <c:valAx>
        <c:axId val="7343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Confidence % of Stocked</a:t>
            </a:r>
            <a:r>
              <a:rPr lang="en-US" baseline="0"/>
              <a:t> Parts post 50 Replications</a:t>
            </a:r>
            <a:endParaRPr lang="en-US"/>
          </a:p>
        </c:rich>
      </c:tx>
      <c:layout>
        <c:manualLayout>
          <c:xMode val="edge"/>
          <c:yMode val="edge"/>
          <c:x val="0.122785087439434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Stocked Parts'!$M$10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tx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0-42EA-4277-BFD2-6AA769E4BC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'New Stocked Parts'!$K$11:$K$21</c15:sqref>
                  </c15:fullRef>
                </c:ext>
              </c:extLst>
              <c:f>'New Stocked Parts'!$K$11:$K$20</c:f>
              <c:numCache>
                <c:formatCode>0%</c:formatCode>
                <c:ptCount val="10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'New Stocked Parts'!$M$11:$M$20</c15:sqref>
                  </c15:fullRef>
                </c:ext>
              </c:extLst>
              <c:f>'New Stocked Parts'!$M$11:$M$20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3FD-4889-827E-90D8B0870E47}"/>
            </c:ext>
          </c:extLst>
        </c:ser>
        <c:ser>
          <c:idx val="1"/>
          <c:order val="1"/>
          <c:tx>
            <c:strRef>
              <c:f>'New Stocked Parts'!$M$10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'New Stocked Parts'!$K$11:$K$21</c15:sqref>
                  </c15:fullRef>
                </c:ext>
              </c:extLst>
              <c:f>'New Stocked Parts'!$K$11:$K$20</c:f>
              <c:numCache>
                <c:formatCode>0%</c:formatCode>
                <c:ptCount val="10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'New Stocked Parts'!$L$11:$L$22</c15:sqref>
                  </c15:fullRef>
                </c:ext>
              </c:extLst>
              <c:f>'New Stocked Parts'!$L$11:$L$20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D-4889-827E-90D8B0870E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6718432"/>
        <c:axId val="854853840"/>
        <c:extLst/>
      </c:barChart>
      <c:catAx>
        <c:axId val="36718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853840"/>
        <c:crosses val="autoZero"/>
        <c:auto val="1"/>
        <c:lblAlgn val="ctr"/>
        <c:lblOffset val="100"/>
        <c:noMultiLvlLbl val="0"/>
      </c:catAx>
      <c:valAx>
        <c:axId val="8548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Original</a:t>
            </a:r>
            <a:r>
              <a:rPr lang="en-US" baseline="0"/>
              <a:t> &amp; New Stock Recommendation</a:t>
            </a:r>
            <a:endParaRPr lang="en-US"/>
          </a:p>
        </c:rich>
      </c:tx>
      <c:layout>
        <c:manualLayout>
          <c:xMode val="edge"/>
          <c:yMode val="edge"/>
          <c:x val="0.1805137795275590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67825896762905E-2"/>
          <c:y val="0.17171296296296298"/>
          <c:w val="0.88498840769903764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'New Stocked Parts'!$O$2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'New Stocked Parts'!$N$3:$N$4</c:f>
              <c:strCache>
                <c:ptCount val="2"/>
                <c:pt idx="0">
                  <c:v>Match</c:v>
                </c:pt>
                <c:pt idx="1">
                  <c:v>Difference</c:v>
                </c:pt>
              </c:strCache>
            </c:strRef>
          </c:cat>
          <c:val>
            <c:numRef>
              <c:f>'New Stocked Parts'!$O$3:$O$4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7-4332-9AF3-ACFFAE2B88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7"/>
        <c:overlap val="-27"/>
        <c:axId val="1572485951"/>
        <c:axId val="1572483071"/>
      </c:barChart>
      <c:catAx>
        <c:axId val="157248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483071"/>
        <c:crosses val="autoZero"/>
        <c:auto val="1"/>
        <c:lblAlgn val="ctr"/>
        <c:lblOffset val="100"/>
        <c:noMultiLvlLbl val="0"/>
      </c:catAx>
      <c:valAx>
        <c:axId val="157248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485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Space Occupied</a:t>
            </a:r>
            <a:r>
              <a:rPr lang="en-US" baseline="0"/>
              <a:t> vs Fix-it First Percentage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Graphs!$B$2</c:f>
              <c:strCache>
                <c:ptCount val="1"/>
                <c:pt idx="0">
                  <c:v>Total Space Occupied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Graphs!$A$3:$A$9</c:f>
              <c:strCache>
                <c:ptCount val="7"/>
                <c:pt idx="0">
                  <c:v>Optimum Solution</c:v>
                </c:pt>
                <c:pt idx="1">
                  <c:v>Heuristic 1</c:v>
                </c:pt>
                <c:pt idx="2">
                  <c:v>Heuristic 2</c:v>
                </c:pt>
                <c:pt idx="3">
                  <c:v>Heuristic 3</c:v>
                </c:pt>
                <c:pt idx="4">
                  <c:v>Developed Heuristic 1</c:v>
                </c:pt>
                <c:pt idx="5">
                  <c:v>Developed Heuristic 2</c:v>
                </c:pt>
                <c:pt idx="6">
                  <c:v>Developed Heuristic 3</c:v>
                </c:pt>
              </c:strCache>
            </c:strRef>
          </c:cat>
          <c:val>
            <c:numRef>
              <c:f>Graphs!$B$3:$B$9</c:f>
              <c:numCache>
                <c:formatCode>0%</c:formatCode>
                <c:ptCount val="7"/>
                <c:pt idx="0">
                  <c:v>0.99919999999999998</c:v>
                </c:pt>
                <c:pt idx="1">
                  <c:v>0.93940000000000001</c:v>
                </c:pt>
                <c:pt idx="2">
                  <c:v>0.97360000000000002</c:v>
                </c:pt>
                <c:pt idx="3">
                  <c:v>0.87819999999999998</c:v>
                </c:pt>
                <c:pt idx="4">
                  <c:v>0.8952</c:v>
                </c:pt>
                <c:pt idx="5">
                  <c:v>1.0154000000000001</c:v>
                </c:pt>
                <c:pt idx="6">
                  <c:v>0.87819999999999998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05-4348-9DCD-F86BB819F075}"/>
            </c:ext>
          </c:extLst>
        </c:ser>
        <c:ser>
          <c:idx val="1"/>
          <c:order val="1"/>
          <c:tx>
            <c:strRef>
              <c:f>Graphs!$C$2</c:f>
              <c:strCache>
                <c:ptCount val="1"/>
                <c:pt idx="0">
                  <c:v>Fix-it first Percentage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Graphs!$A$3:$A$9</c:f>
              <c:strCache>
                <c:ptCount val="7"/>
                <c:pt idx="0">
                  <c:v>Optimum Solution</c:v>
                </c:pt>
                <c:pt idx="1">
                  <c:v>Heuristic 1</c:v>
                </c:pt>
                <c:pt idx="2">
                  <c:v>Heuristic 2</c:v>
                </c:pt>
                <c:pt idx="3">
                  <c:v>Heuristic 3</c:v>
                </c:pt>
                <c:pt idx="4">
                  <c:v>Developed Heuristic 1</c:v>
                </c:pt>
                <c:pt idx="5">
                  <c:v>Developed Heuristic 2</c:v>
                </c:pt>
                <c:pt idx="6">
                  <c:v>Developed Heuristic 3</c:v>
                </c:pt>
              </c:strCache>
            </c:strRef>
          </c:cat>
          <c:val>
            <c:numRef>
              <c:f>Graphs!$C$3:$C$9</c:f>
              <c:numCache>
                <c:formatCode>0%</c:formatCode>
                <c:ptCount val="7"/>
                <c:pt idx="0">
                  <c:v>0.7</c:v>
                </c:pt>
                <c:pt idx="1">
                  <c:v>0.67</c:v>
                </c:pt>
                <c:pt idx="2">
                  <c:v>0.19</c:v>
                </c:pt>
                <c:pt idx="3">
                  <c:v>0.6</c:v>
                </c:pt>
                <c:pt idx="4">
                  <c:v>0.55000000000000004</c:v>
                </c:pt>
                <c:pt idx="5">
                  <c:v>0.7</c:v>
                </c:pt>
                <c:pt idx="6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05-4348-9DCD-F86BB819F07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7284863"/>
        <c:axId val="127276703"/>
      </c:lineChart>
      <c:catAx>
        <c:axId val="127284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Rules Applied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76703"/>
        <c:crosses val="autoZero"/>
        <c:auto val="1"/>
        <c:lblAlgn val="ctr"/>
        <c:lblOffset val="100"/>
        <c:noMultiLvlLbl val="0"/>
      </c:catAx>
      <c:valAx>
        <c:axId val="127276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84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Benefit, Fix-it First and</a:t>
            </a:r>
            <a:r>
              <a:rPr lang="en-US" baseline="0"/>
              <a:t> Costs % Comparison</a:t>
            </a:r>
            <a:endParaRPr lang="en-US"/>
          </a:p>
        </c:rich>
      </c:tx>
      <c:layout>
        <c:manualLayout>
          <c:xMode val="edge"/>
          <c:yMode val="edge"/>
          <c:x val="0.28753831014739079"/>
          <c:y val="2.94426870277143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Graphs!$B$20</c:f>
              <c:strCache>
                <c:ptCount val="1"/>
                <c:pt idx="0">
                  <c:v>Total Net Benefit per Cubic foot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Graphs!$A$21:$A$27</c:f>
              <c:strCache>
                <c:ptCount val="7"/>
                <c:pt idx="0">
                  <c:v>Optimum Solution</c:v>
                </c:pt>
                <c:pt idx="1">
                  <c:v>Heuristic 1</c:v>
                </c:pt>
                <c:pt idx="2">
                  <c:v>Heuristic 2</c:v>
                </c:pt>
                <c:pt idx="3">
                  <c:v>Heuristic 3</c:v>
                </c:pt>
                <c:pt idx="4">
                  <c:v>Developed Heuristic 1</c:v>
                </c:pt>
                <c:pt idx="5">
                  <c:v>Developed Heuristic 2</c:v>
                </c:pt>
                <c:pt idx="6">
                  <c:v>Developed Heuristic 3</c:v>
                </c:pt>
              </c:strCache>
            </c:strRef>
          </c:cat>
          <c:val>
            <c:numRef>
              <c:f>Graphs!$B$21:$B$27</c:f>
              <c:numCache>
                <c:formatCode>0%</c:formatCode>
                <c:ptCount val="7"/>
                <c:pt idx="0">
                  <c:v>0.34</c:v>
                </c:pt>
                <c:pt idx="1">
                  <c:v>0.92</c:v>
                </c:pt>
                <c:pt idx="2">
                  <c:v>0.05</c:v>
                </c:pt>
                <c:pt idx="3">
                  <c:v>0.77</c:v>
                </c:pt>
                <c:pt idx="4">
                  <c:v>0.75</c:v>
                </c:pt>
                <c:pt idx="5">
                  <c:v>0.79</c:v>
                </c:pt>
                <c:pt idx="6">
                  <c:v>0.77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B-4181-A7FF-EEED07C7583D}"/>
            </c:ext>
          </c:extLst>
        </c:ser>
        <c:ser>
          <c:idx val="1"/>
          <c:order val="1"/>
          <c:tx>
            <c:strRef>
              <c:f>Graphs!$C$20</c:f>
              <c:strCache>
                <c:ptCount val="1"/>
                <c:pt idx="0">
                  <c:v>Fix-it First Percentage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Graphs!$A$21:$A$27</c:f>
              <c:strCache>
                <c:ptCount val="7"/>
                <c:pt idx="0">
                  <c:v>Optimum Solution</c:v>
                </c:pt>
                <c:pt idx="1">
                  <c:v>Heuristic 1</c:v>
                </c:pt>
                <c:pt idx="2">
                  <c:v>Heuristic 2</c:v>
                </c:pt>
                <c:pt idx="3">
                  <c:v>Heuristic 3</c:v>
                </c:pt>
                <c:pt idx="4">
                  <c:v>Developed Heuristic 1</c:v>
                </c:pt>
                <c:pt idx="5">
                  <c:v>Developed Heuristic 2</c:v>
                </c:pt>
                <c:pt idx="6">
                  <c:v>Developed Heuristic 3</c:v>
                </c:pt>
              </c:strCache>
            </c:strRef>
          </c:cat>
          <c:val>
            <c:numRef>
              <c:f>Graphs!$C$21:$C$27</c:f>
              <c:numCache>
                <c:formatCode>0%</c:formatCode>
                <c:ptCount val="7"/>
                <c:pt idx="0">
                  <c:v>0.69599999999999995</c:v>
                </c:pt>
                <c:pt idx="1">
                  <c:v>0.67</c:v>
                </c:pt>
                <c:pt idx="2">
                  <c:v>0.19</c:v>
                </c:pt>
                <c:pt idx="3">
                  <c:v>0.6</c:v>
                </c:pt>
                <c:pt idx="4">
                  <c:v>0.55000000000000004</c:v>
                </c:pt>
                <c:pt idx="5">
                  <c:v>0.69799999999999995</c:v>
                </c:pt>
                <c:pt idx="6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6B-4181-A7FF-EEED07C7583D}"/>
            </c:ext>
          </c:extLst>
        </c:ser>
        <c:ser>
          <c:idx val="2"/>
          <c:order val="2"/>
          <c:tx>
            <c:strRef>
              <c:f>Graphs!$D$20</c:f>
              <c:strCache>
                <c:ptCount val="1"/>
                <c:pt idx="0">
                  <c:v>Costs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Graphs!$A$21:$A$27</c:f>
              <c:strCache>
                <c:ptCount val="7"/>
                <c:pt idx="0">
                  <c:v>Optimum Solution</c:v>
                </c:pt>
                <c:pt idx="1">
                  <c:v>Heuristic 1</c:v>
                </c:pt>
                <c:pt idx="2">
                  <c:v>Heuristic 2</c:v>
                </c:pt>
                <c:pt idx="3">
                  <c:v>Heuristic 3</c:v>
                </c:pt>
                <c:pt idx="4">
                  <c:v>Developed Heuristic 1</c:v>
                </c:pt>
                <c:pt idx="5">
                  <c:v>Developed Heuristic 2</c:v>
                </c:pt>
                <c:pt idx="6">
                  <c:v>Developed Heuristic 3</c:v>
                </c:pt>
              </c:strCache>
            </c:strRef>
          </c:cat>
          <c:val>
            <c:numRef>
              <c:f>Graphs!$D$21:$D$27</c:f>
              <c:numCache>
                <c:formatCode>0%</c:formatCode>
                <c:ptCount val="7"/>
                <c:pt idx="0">
                  <c:v>0.119853647116046</c:v>
                </c:pt>
                <c:pt idx="1">
                  <c:v>0.14265050444920752</c:v>
                </c:pt>
                <c:pt idx="2">
                  <c:v>0.20876520198839557</c:v>
                </c:pt>
                <c:pt idx="3">
                  <c:v>0.13470490764922494</c:v>
                </c:pt>
                <c:pt idx="4">
                  <c:v>0.13946355424802676</c:v>
                </c:pt>
                <c:pt idx="5">
                  <c:v>0.11985727689987422</c:v>
                </c:pt>
                <c:pt idx="6">
                  <c:v>0.13470490764922494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6B-4181-A7FF-EEED07C758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4203839"/>
        <c:axId val="904206239"/>
      </c:barChart>
      <c:catAx>
        <c:axId val="904203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Rules Applied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06239"/>
        <c:crosses val="autoZero"/>
        <c:auto val="1"/>
        <c:lblAlgn val="ctr"/>
        <c:lblOffset val="100"/>
        <c:noMultiLvlLbl val="0"/>
      </c:catAx>
      <c:valAx>
        <c:axId val="90420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203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337930</xdr:colOff>
      <xdr:row>37</xdr:row>
      <xdr:rowOff>9941</xdr:rowOff>
    </xdr:from>
    <xdr:to>
      <xdr:col>28</xdr:col>
      <xdr:colOff>33130</xdr:colOff>
      <xdr:row>51</xdr:row>
      <xdr:rowOff>155715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A0D6C6-D4C0-5D91-980E-7591FE8D7C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245166</xdr:colOff>
      <xdr:row>57</xdr:row>
      <xdr:rowOff>135835</xdr:rowOff>
    </xdr:from>
    <xdr:to>
      <xdr:col>27</xdr:col>
      <xdr:colOff>549966</xdr:colOff>
      <xdr:row>72</xdr:row>
      <xdr:rowOff>96079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6650AB-64F6-309D-57E1-764337EC6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281940</xdr:colOff>
      <xdr:row>20</xdr:row>
      <xdr:rowOff>19050</xdr:rowOff>
    </xdr:from>
    <xdr:to>
      <xdr:col>14</xdr:col>
      <xdr:colOff>205740</xdr:colOff>
      <xdr:row>35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FB03F2-DA0D-5B6A-7A3D-236C02D62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106680</xdr:colOff>
      <xdr:row>5</xdr:row>
      <xdr:rowOff>26670</xdr:rowOff>
    </xdr:from>
    <xdr:to>
      <xdr:col>20</xdr:col>
      <xdr:colOff>160020</xdr:colOff>
      <xdr:row>20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8EEB91-BBCA-F06A-9979-257FF9559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-1</xdr:colOff>
      <xdr:row>2</xdr:row>
      <xdr:rowOff>0</xdr:rowOff>
    </xdr:from>
    <xdr:to>
      <xdr:col>18</xdr:col>
      <xdr:colOff>10884</xdr:colOff>
      <xdr:row>15</xdr:row>
      <xdr:rowOff>21772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FE4AB1-5111-45B7-83AA-771473406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587829</xdr:colOff>
      <xdr:row>16</xdr:row>
      <xdr:rowOff>43543</xdr:rowOff>
    </xdr:from>
    <xdr:to>
      <xdr:col>18</xdr:col>
      <xdr:colOff>217715</xdr:colOff>
      <xdr:row>34</xdr:row>
      <xdr:rowOff>163286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1DEF426-FE29-95D3-A016-D28ED378D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14"/>
  <sheetViews>
    <sheetView zoomScale="110" zoomScaleNormal="110" workbookViewId="0">
      <pane ySplit="1" topLeftCell="A2" activePane="bottomLeft" state="frozen"/>
      <selection pane="bottomLeft" activeCell="G11" sqref="G11"/>
    </sheetView>
  </sheetViews>
  <sheetFormatPr defaultRowHeight="14.4" x14ac:dyDescent="0.3"/>
  <cols>
    <col min="1" max="1" width="8.6640625"/>
    <col min="2" max="2" width="14.5546875" style="8" customWidth="1"/>
    <col min="3" max="3" width="12" style="7" customWidth="1"/>
    <col min="4" max="4" width="16" customWidth="1"/>
    <col min="5" max="5" width="13.44140625" style="9" customWidth="1"/>
    <col min="7" max="7" width="11.44140625" customWidth="1"/>
    <col min="8" max="8" width="13" style="9" customWidth="1"/>
    <col min="9" max="9" width="8.33203125" customWidth="1"/>
    <col min="10" max="10" width="10.6640625" style="33" customWidth="1"/>
    <col min="11" max="11" width="13" style="45" customWidth="1"/>
    <col min="12" max="12" width="14.77734375" style="32" customWidth="1"/>
    <col min="13" max="13" width="2.77734375" customWidth="1"/>
    <col min="14" max="14" width="2.88671875" customWidth="1"/>
    <col min="15" max="15" width="27.33203125" customWidth="1"/>
    <col min="16" max="16" width="13" customWidth="1"/>
    <col min="17" max="17" width="12.109375" customWidth="1"/>
    <col min="19" max="19" width="16.77734375" bestFit="1" customWidth="1"/>
    <col min="20" max="20" width="14" customWidth="1"/>
    <col min="22" max="23" width="11.21875" bestFit="1" customWidth="1"/>
  </cols>
  <sheetData>
    <row r="1" spans="1:17" ht="57.6" customHeight="1" x14ac:dyDescent="0.3">
      <c r="A1" s="39" t="s">
        <v>0</v>
      </c>
      <c r="B1" s="40" t="s">
        <v>1</v>
      </c>
      <c r="C1" s="41" t="s">
        <v>2</v>
      </c>
      <c r="D1" s="39" t="s">
        <v>4</v>
      </c>
      <c r="E1" s="42" t="s">
        <v>11</v>
      </c>
      <c r="F1" s="47" t="s">
        <v>43</v>
      </c>
      <c r="G1" s="47" t="s">
        <v>69</v>
      </c>
      <c r="H1" s="47" t="s">
        <v>44</v>
      </c>
      <c r="I1" s="42" t="s">
        <v>7</v>
      </c>
      <c r="J1" s="39" t="s">
        <v>33</v>
      </c>
      <c r="K1" s="44" t="s">
        <v>34</v>
      </c>
      <c r="L1" s="43" t="s">
        <v>35</v>
      </c>
      <c r="M1" s="46"/>
      <c r="N1" s="46"/>
      <c r="O1" s="101" t="s">
        <v>42</v>
      </c>
      <c r="P1" s="101"/>
      <c r="Q1" s="101"/>
    </row>
    <row r="2" spans="1:17" x14ac:dyDescent="0.3">
      <c r="A2">
        <v>1044</v>
      </c>
      <c r="B2" s="3">
        <v>0.5610562758446358</v>
      </c>
      <c r="C2" s="2">
        <v>84.301423961499964</v>
      </c>
      <c r="D2" s="1">
        <v>2.6492622052295749</v>
      </c>
      <c r="E2" s="9">
        <f t="shared" ref="E2:E65" si="0">0.25*C2</f>
        <v>21.075355990374991</v>
      </c>
      <c r="F2" s="3">
        <f t="shared" ref="F2:F65" si="1">(1/50)*D2</f>
        <v>5.2985244104591496E-2</v>
      </c>
      <c r="G2">
        <f t="shared" ref="G2:G65" ca="1" si="2">_xlfn.BINOM.INV(50,F2,RAND())</f>
        <v>3</v>
      </c>
      <c r="H2" s="9">
        <f t="shared" ref="H2:H65" ca="1" si="3">G2*25</f>
        <v>75</v>
      </c>
      <c r="I2" s="12">
        <f t="shared" ref="I2:I65" si="4">IF(L2&gt;0,1,0)</f>
        <v>1</v>
      </c>
      <c r="J2" s="30">
        <f t="shared" ref="J2:J65" ca="1" si="5">H2-E2</f>
        <v>53.924644009625013</v>
      </c>
      <c r="K2" s="45">
        <f t="shared" ref="K2:K65" ca="1" si="6">J2/B2</f>
        <v>96.112718690196928</v>
      </c>
      <c r="L2" s="35">
        <f>500-B2</f>
        <v>499.43894372415537</v>
      </c>
    </row>
    <row r="3" spans="1:17" x14ac:dyDescent="0.3">
      <c r="A3">
        <v>35</v>
      </c>
      <c r="B3" s="3">
        <v>0.43645018317542084</v>
      </c>
      <c r="C3" s="2">
        <v>78.177645639745492</v>
      </c>
      <c r="D3" s="1">
        <v>2.746872613905055</v>
      </c>
      <c r="E3" s="9">
        <f t="shared" si="0"/>
        <v>19.544411409936373</v>
      </c>
      <c r="F3" s="3">
        <f t="shared" si="1"/>
        <v>5.4937452278101102E-2</v>
      </c>
      <c r="G3">
        <f t="shared" ca="1" si="2"/>
        <v>3</v>
      </c>
      <c r="H3" s="9">
        <f t="shared" ca="1" si="3"/>
        <v>75</v>
      </c>
      <c r="I3" s="12">
        <f t="shared" si="4"/>
        <v>1</v>
      </c>
      <c r="J3" s="30">
        <f t="shared" ca="1" si="5"/>
        <v>55.455588590063627</v>
      </c>
      <c r="K3" s="45">
        <f t="shared" ca="1" si="6"/>
        <v>127.06052311994233</v>
      </c>
      <c r="L3" s="35">
        <f>L2-B3</f>
        <v>499.00249354097997</v>
      </c>
    </row>
    <row r="4" spans="1:17" x14ac:dyDescent="0.3">
      <c r="A4">
        <v>350</v>
      </c>
      <c r="B4" s="3">
        <v>0.56416783163394379</v>
      </c>
      <c r="C4" s="2">
        <v>64.573079635478294</v>
      </c>
      <c r="D4" s="1">
        <v>2.3929696504186952</v>
      </c>
      <c r="E4" s="9">
        <f t="shared" si="0"/>
        <v>16.143269908869573</v>
      </c>
      <c r="F4" s="3">
        <f t="shared" si="1"/>
        <v>4.7859393008373906E-2</v>
      </c>
      <c r="G4">
        <f t="shared" ca="1" si="2"/>
        <v>0</v>
      </c>
      <c r="H4" s="9">
        <f t="shared" ca="1" si="3"/>
        <v>0</v>
      </c>
      <c r="I4" s="12">
        <f t="shared" si="4"/>
        <v>1</v>
      </c>
      <c r="J4" s="30">
        <f t="shared" ca="1" si="5"/>
        <v>-16.143269908869573</v>
      </c>
      <c r="K4" s="45">
        <f t="shared" ca="1" si="6"/>
        <v>-28.614304119601094</v>
      </c>
      <c r="L4" s="35">
        <f t="shared" ref="L4:L67" si="7">L3-B4</f>
        <v>498.43832570934603</v>
      </c>
      <c r="O4" s="10" t="s">
        <v>8</v>
      </c>
      <c r="P4" s="14">
        <f>SUMPRODUCT(I2:I417,E2:E417)</f>
        <v>1902.0069539255037</v>
      </c>
    </row>
    <row r="5" spans="1:17" x14ac:dyDescent="0.3">
      <c r="A5">
        <v>649</v>
      </c>
      <c r="B5" s="3">
        <v>0.68871750558282541</v>
      </c>
      <c r="C5" s="2">
        <v>45.488672607625766</v>
      </c>
      <c r="D5" s="1">
        <v>2.5061875354610734</v>
      </c>
      <c r="E5" s="9">
        <f t="shared" si="0"/>
        <v>11.372168151906441</v>
      </c>
      <c r="F5" s="3">
        <f t="shared" si="1"/>
        <v>5.0123750709221468E-2</v>
      </c>
      <c r="G5">
        <f t="shared" ca="1" si="2"/>
        <v>0</v>
      </c>
      <c r="H5" s="9">
        <f t="shared" ca="1" si="3"/>
        <v>0</v>
      </c>
      <c r="I5" s="12">
        <f t="shared" si="4"/>
        <v>1</v>
      </c>
      <c r="J5" s="30">
        <f t="shared" ca="1" si="5"/>
        <v>-11.372168151906441</v>
      </c>
      <c r="K5" s="45">
        <f t="shared" ca="1" si="6"/>
        <v>-16.512093942323673</v>
      </c>
      <c r="L5" s="35">
        <f t="shared" si="7"/>
        <v>497.74960820376322</v>
      </c>
      <c r="O5" s="10" t="s">
        <v>9</v>
      </c>
      <c r="P5" s="14">
        <f ca="1">SUM(H2:H417)-SUMPRODUCT(H2:H417,I2:I417)</f>
        <v>11025</v>
      </c>
    </row>
    <row r="6" spans="1:17" x14ac:dyDescent="0.3">
      <c r="A6">
        <v>401</v>
      </c>
      <c r="B6" s="3">
        <v>1.393934377638294</v>
      </c>
      <c r="C6" s="2">
        <v>14.510763792571202</v>
      </c>
      <c r="D6" s="1">
        <v>2.8000267832792849</v>
      </c>
      <c r="E6" s="9">
        <f t="shared" si="0"/>
        <v>3.6276909481428006</v>
      </c>
      <c r="F6" s="3">
        <f t="shared" si="1"/>
        <v>5.6000535665585702E-2</v>
      </c>
      <c r="G6">
        <f t="shared" ca="1" si="2"/>
        <v>4</v>
      </c>
      <c r="H6" s="9">
        <f t="shared" ca="1" si="3"/>
        <v>100</v>
      </c>
      <c r="I6" s="12">
        <f t="shared" si="4"/>
        <v>1</v>
      </c>
      <c r="J6" s="30">
        <f t="shared" ca="1" si="5"/>
        <v>96.372309051857201</v>
      </c>
      <c r="K6" s="45">
        <f t="shared" ca="1" si="6"/>
        <v>69.136905293302434</v>
      </c>
      <c r="L6" s="35">
        <f t="shared" si="7"/>
        <v>496.35567382612493</v>
      </c>
      <c r="O6" s="10" t="s">
        <v>6</v>
      </c>
      <c r="P6" s="16">
        <f ca="1">SUM(P4:P5)</f>
        <v>12927.006953925504</v>
      </c>
    </row>
    <row r="7" spans="1:17" x14ac:dyDescent="0.3">
      <c r="A7">
        <v>774</v>
      </c>
      <c r="B7" s="3">
        <v>0.80469247439743818</v>
      </c>
      <c r="C7" s="2">
        <v>30.107002860584998</v>
      </c>
      <c r="D7" s="1">
        <v>2.4069120957504273</v>
      </c>
      <c r="E7" s="9">
        <f t="shared" si="0"/>
        <v>7.5267507151462496</v>
      </c>
      <c r="F7" s="3">
        <f t="shared" si="1"/>
        <v>4.8138241915008546E-2</v>
      </c>
      <c r="G7">
        <f t="shared" ca="1" si="2"/>
        <v>2</v>
      </c>
      <c r="H7" s="9">
        <f t="shared" ca="1" si="3"/>
        <v>50</v>
      </c>
      <c r="I7" s="12">
        <f t="shared" si="4"/>
        <v>1</v>
      </c>
      <c r="J7" s="30">
        <f t="shared" ca="1" si="5"/>
        <v>42.47324928485375</v>
      </c>
      <c r="K7" s="45">
        <f t="shared" ca="1" si="6"/>
        <v>52.781964087160311</v>
      </c>
      <c r="L7" s="35">
        <f t="shared" si="7"/>
        <v>495.5509813517275</v>
      </c>
      <c r="O7" s="10" t="s">
        <v>12</v>
      </c>
      <c r="P7" s="10">
        <f>COUNTIF(I2:I417,"&gt;0")</f>
        <v>158</v>
      </c>
    </row>
    <row r="8" spans="1:17" x14ac:dyDescent="0.3">
      <c r="A8">
        <v>294</v>
      </c>
      <c r="B8" s="3">
        <v>0.73039598797183691</v>
      </c>
      <c r="C8" s="2">
        <v>24.155105485004302</v>
      </c>
      <c r="D8" s="1">
        <v>0.83657005750647651</v>
      </c>
      <c r="E8" s="9">
        <f t="shared" si="0"/>
        <v>6.0387763712510756</v>
      </c>
      <c r="F8" s="3">
        <f t="shared" si="1"/>
        <v>1.673140115012953E-2</v>
      </c>
      <c r="G8">
        <f t="shared" ca="1" si="2"/>
        <v>0</v>
      </c>
      <c r="H8" s="9">
        <f t="shared" ca="1" si="3"/>
        <v>0</v>
      </c>
      <c r="I8" s="12">
        <f t="shared" si="4"/>
        <v>1</v>
      </c>
      <c r="J8" s="30">
        <f t="shared" ca="1" si="5"/>
        <v>-6.0387763712510756</v>
      </c>
      <c r="K8" s="45">
        <f t="shared" ca="1" si="6"/>
        <v>-8.2678115305911604</v>
      </c>
      <c r="L8" s="35">
        <f t="shared" si="7"/>
        <v>494.82058536375564</v>
      </c>
      <c r="O8" s="10" t="s">
        <v>10</v>
      </c>
      <c r="P8" s="17">
        <f>SUMPRODUCT(I2:I417,B2:B417)</f>
        <v>497.32291348097505</v>
      </c>
    </row>
    <row r="9" spans="1:17" x14ac:dyDescent="0.3">
      <c r="A9">
        <v>81</v>
      </c>
      <c r="B9" s="3">
        <v>0.88385762405837398</v>
      </c>
      <c r="C9" s="2">
        <v>88.763941650609382</v>
      </c>
      <c r="D9" s="1">
        <v>2.50822000609997</v>
      </c>
      <c r="E9" s="9">
        <f t="shared" si="0"/>
        <v>22.190985412652346</v>
      </c>
      <c r="F9" s="3">
        <f t="shared" si="1"/>
        <v>5.0164400121999402E-2</v>
      </c>
      <c r="G9">
        <f t="shared" ca="1" si="2"/>
        <v>2</v>
      </c>
      <c r="H9" s="9">
        <f t="shared" ca="1" si="3"/>
        <v>50</v>
      </c>
      <c r="I9" s="12">
        <f t="shared" si="4"/>
        <v>1</v>
      </c>
      <c r="J9" s="30">
        <f t="shared" ca="1" si="5"/>
        <v>27.809014587347654</v>
      </c>
      <c r="K9" s="45">
        <f t="shared" ca="1" si="6"/>
        <v>31.463228726430064</v>
      </c>
      <c r="L9" s="35">
        <f t="shared" si="7"/>
        <v>493.93672773969729</v>
      </c>
      <c r="O9" s="10" t="s">
        <v>16</v>
      </c>
      <c r="P9" s="22">
        <f>(SUMPRODUCT(I2:I417,E2:E417)/SUM(E2:E417))</f>
        <v>0.40019703127910095</v>
      </c>
    </row>
    <row r="10" spans="1:17" x14ac:dyDescent="0.3">
      <c r="A10">
        <v>793</v>
      </c>
      <c r="B10" s="3">
        <v>1.5306598931066917</v>
      </c>
      <c r="C10" s="2">
        <v>36.458708658394613</v>
      </c>
      <c r="D10" s="1">
        <v>2.971260981672204</v>
      </c>
      <c r="E10" s="9">
        <f t="shared" si="0"/>
        <v>9.1146771645986533</v>
      </c>
      <c r="F10" s="3">
        <f t="shared" si="1"/>
        <v>5.9425219633444083E-2</v>
      </c>
      <c r="G10">
        <f t="shared" ca="1" si="2"/>
        <v>4</v>
      </c>
      <c r="H10" s="9">
        <f t="shared" ca="1" si="3"/>
        <v>100</v>
      </c>
      <c r="I10" s="12">
        <f t="shared" si="4"/>
        <v>1</v>
      </c>
      <c r="J10" s="30">
        <f t="shared" ca="1" si="5"/>
        <v>90.885322835401354</v>
      </c>
      <c r="K10" s="45">
        <f t="shared" ca="1" si="6"/>
        <v>59.37656251705706</v>
      </c>
      <c r="L10" s="35">
        <f t="shared" si="7"/>
        <v>492.40606784659059</v>
      </c>
      <c r="O10" s="10" t="s">
        <v>36</v>
      </c>
      <c r="P10" s="11">
        <f ca="1">SUM(K2:K177)</f>
        <v>2926.2197338535584</v>
      </c>
    </row>
    <row r="11" spans="1:17" ht="15" thickBot="1" x14ac:dyDescent="0.35">
      <c r="A11">
        <v>949</v>
      </c>
      <c r="B11" s="3">
        <v>0.86523383294739187</v>
      </c>
      <c r="C11" s="2">
        <v>98.249782774153502</v>
      </c>
      <c r="D11" s="1">
        <v>3.2019058741676325</v>
      </c>
      <c r="E11" s="9">
        <f t="shared" si="0"/>
        <v>24.562445693538375</v>
      </c>
      <c r="F11" s="3">
        <f t="shared" si="1"/>
        <v>6.4038117483352655E-2</v>
      </c>
      <c r="G11">
        <f t="shared" ca="1" si="2"/>
        <v>3</v>
      </c>
      <c r="H11" s="9">
        <f t="shared" ca="1" si="3"/>
        <v>75</v>
      </c>
      <c r="I11" s="12">
        <f t="shared" si="4"/>
        <v>1</v>
      </c>
      <c r="J11" s="30">
        <f t="shared" ca="1" si="5"/>
        <v>50.437554306461621</v>
      </c>
      <c r="K11" s="45">
        <f t="shared" ca="1" si="6"/>
        <v>58.293553009419057</v>
      </c>
      <c r="L11" s="35">
        <f t="shared" si="7"/>
        <v>491.54083401364318</v>
      </c>
    </row>
    <row r="12" spans="1:17" x14ac:dyDescent="0.3">
      <c r="A12">
        <v>176</v>
      </c>
      <c r="B12" s="3">
        <v>1.9957645744781394</v>
      </c>
      <c r="C12" s="2">
        <v>61.731184328294916</v>
      </c>
      <c r="D12" s="1">
        <v>2.1708540098049571</v>
      </c>
      <c r="E12" s="9">
        <f t="shared" si="0"/>
        <v>15.432796082073729</v>
      </c>
      <c r="F12" s="3">
        <f t="shared" si="1"/>
        <v>4.3417080196099141E-2</v>
      </c>
      <c r="G12">
        <f t="shared" ca="1" si="2"/>
        <v>6</v>
      </c>
      <c r="H12" s="9">
        <f t="shared" ca="1" si="3"/>
        <v>150</v>
      </c>
      <c r="I12" s="12">
        <f t="shared" si="4"/>
        <v>1</v>
      </c>
      <c r="J12" s="30">
        <f t="shared" ca="1" si="5"/>
        <v>134.56720391792626</v>
      </c>
      <c r="K12" s="45">
        <f t="shared" ca="1" si="6"/>
        <v>67.426391689066548</v>
      </c>
      <c r="L12" s="35">
        <f t="shared" si="7"/>
        <v>489.54506943916505</v>
      </c>
      <c r="O12" s="52" t="s">
        <v>45</v>
      </c>
      <c r="P12" s="51">
        <f ca="1">SUM(H2:H417) - SUMPRODUCT(I2:I417,H2:H417)</f>
        <v>11025</v>
      </c>
    </row>
    <row r="13" spans="1:17" x14ac:dyDescent="0.3">
      <c r="A13">
        <v>755</v>
      </c>
      <c r="B13" s="3">
        <v>0.53430713571528288</v>
      </c>
      <c r="C13" s="2">
        <v>88.099969932523493</v>
      </c>
      <c r="D13" s="1">
        <v>1.2079509469533682</v>
      </c>
      <c r="E13" s="9">
        <f t="shared" si="0"/>
        <v>22.024992483130873</v>
      </c>
      <c r="F13" s="3">
        <f t="shared" si="1"/>
        <v>2.4159018939067366E-2</v>
      </c>
      <c r="G13">
        <f t="shared" ca="1" si="2"/>
        <v>3</v>
      </c>
      <c r="H13" s="9">
        <f t="shared" ca="1" si="3"/>
        <v>75</v>
      </c>
      <c r="I13" s="12">
        <f t="shared" si="4"/>
        <v>1</v>
      </c>
      <c r="J13" s="30">
        <f t="shared" ca="1" si="5"/>
        <v>52.975007516869127</v>
      </c>
      <c r="K13" s="45">
        <f t="shared" ca="1" si="6"/>
        <v>99.147108424728216</v>
      </c>
      <c r="L13" s="35">
        <f t="shared" si="7"/>
        <v>489.01076230344978</v>
      </c>
      <c r="O13" s="53" t="s">
        <v>6</v>
      </c>
      <c r="P13" s="63">
        <f ca="1">P12+P4</f>
        <v>12927.006953925504</v>
      </c>
      <c r="Q13" s="25"/>
    </row>
    <row r="14" spans="1:17" ht="15" thickBot="1" x14ac:dyDescent="0.35">
      <c r="A14">
        <v>1106</v>
      </c>
      <c r="B14" s="3">
        <v>2.9859893627222291</v>
      </c>
      <c r="C14" s="2">
        <v>82.198983453072742</v>
      </c>
      <c r="D14" s="1">
        <v>2.8706130768340863</v>
      </c>
      <c r="E14" s="9">
        <f t="shared" si="0"/>
        <v>20.549745863268186</v>
      </c>
      <c r="F14" s="3">
        <f t="shared" si="1"/>
        <v>5.7412261536681726E-2</v>
      </c>
      <c r="G14">
        <f t="shared" ca="1" si="2"/>
        <v>2</v>
      </c>
      <c r="H14" s="9">
        <f t="shared" ca="1" si="3"/>
        <v>50</v>
      </c>
      <c r="I14" s="12">
        <f t="shared" si="4"/>
        <v>1</v>
      </c>
      <c r="J14" s="30">
        <f t="shared" ca="1" si="5"/>
        <v>29.450254136731814</v>
      </c>
      <c r="K14" s="45">
        <f t="shared" ca="1" si="6"/>
        <v>9.8628128098497232</v>
      </c>
      <c r="L14" s="35">
        <f t="shared" si="7"/>
        <v>486.02477294072753</v>
      </c>
      <c r="O14" s="54" t="s">
        <v>46</v>
      </c>
      <c r="P14" s="62">
        <f ca="1">COUNTIF(G2:G417,"&lt;1")/SUM(G2:G417)</f>
        <v>0.11601513240857503</v>
      </c>
      <c r="Q14" s="26"/>
    </row>
    <row r="15" spans="1:17" x14ac:dyDescent="0.3">
      <c r="A15">
        <v>970</v>
      </c>
      <c r="B15" s="3">
        <v>2.1551925975341222</v>
      </c>
      <c r="C15" s="2">
        <v>62.251675513847303</v>
      </c>
      <c r="D15" s="1">
        <v>2.4230372330894476</v>
      </c>
      <c r="E15" s="9">
        <f t="shared" si="0"/>
        <v>15.562918878461826</v>
      </c>
      <c r="F15" s="3">
        <f t="shared" si="1"/>
        <v>4.8460744661788957E-2</v>
      </c>
      <c r="G15">
        <f t="shared" ca="1" si="2"/>
        <v>3</v>
      </c>
      <c r="H15" s="9">
        <f t="shared" ca="1" si="3"/>
        <v>75</v>
      </c>
      <c r="I15" s="12">
        <f t="shared" si="4"/>
        <v>1</v>
      </c>
      <c r="J15" s="30">
        <f t="shared" ca="1" si="5"/>
        <v>59.437081121538171</v>
      </c>
      <c r="K15" s="45">
        <f t="shared" ca="1" si="6"/>
        <v>27.57854736024219</v>
      </c>
      <c r="L15" s="35">
        <f t="shared" si="7"/>
        <v>483.86958034319343</v>
      </c>
      <c r="O15" s="26"/>
    </row>
    <row r="16" spans="1:17" x14ac:dyDescent="0.3">
      <c r="A16">
        <v>865</v>
      </c>
      <c r="B16" s="3">
        <v>1.1825119775638515</v>
      </c>
      <c r="C16" s="2">
        <v>61.001663362472414</v>
      </c>
      <c r="D16" s="1">
        <v>2.4604800800746749</v>
      </c>
      <c r="E16" s="9">
        <f t="shared" si="0"/>
        <v>15.250415840618103</v>
      </c>
      <c r="F16" s="3">
        <f t="shared" si="1"/>
        <v>4.9209601601493499E-2</v>
      </c>
      <c r="G16">
        <f t="shared" ca="1" si="2"/>
        <v>1</v>
      </c>
      <c r="H16" s="9">
        <f t="shared" ca="1" si="3"/>
        <v>25</v>
      </c>
      <c r="I16" s="12">
        <f t="shared" si="4"/>
        <v>1</v>
      </c>
      <c r="J16" s="30">
        <f t="shared" ca="1" si="5"/>
        <v>9.7495841593818966</v>
      </c>
      <c r="K16" s="45">
        <f t="shared" ca="1" si="6"/>
        <v>8.2448079548990894</v>
      </c>
      <c r="L16" s="35">
        <f t="shared" si="7"/>
        <v>482.68706836562956</v>
      </c>
      <c r="P16" s="9"/>
      <c r="Q16" s="26"/>
    </row>
    <row r="17" spans="1:23" ht="15" thickBot="1" x14ac:dyDescent="0.35">
      <c r="A17">
        <v>966</v>
      </c>
      <c r="B17" s="3">
        <v>2.7321710400883825</v>
      </c>
      <c r="C17" s="2">
        <v>58.655679851668175</v>
      </c>
      <c r="D17" s="1">
        <v>3.0262736228703639</v>
      </c>
      <c r="E17" s="9">
        <f t="shared" si="0"/>
        <v>14.663919962917044</v>
      </c>
      <c r="F17" s="3">
        <f t="shared" si="1"/>
        <v>6.0525472457407282E-2</v>
      </c>
      <c r="G17">
        <f t="shared" ca="1" si="2"/>
        <v>2</v>
      </c>
      <c r="H17" s="9">
        <f t="shared" ca="1" si="3"/>
        <v>50</v>
      </c>
      <c r="I17" s="12">
        <f t="shared" si="4"/>
        <v>1</v>
      </c>
      <c r="J17" s="30">
        <f t="shared" ca="1" si="5"/>
        <v>35.336080037082958</v>
      </c>
      <c r="K17" s="45">
        <f t="shared" ca="1" si="6"/>
        <v>12.933333791554967</v>
      </c>
      <c r="L17" s="35">
        <f t="shared" si="7"/>
        <v>479.9548973255412</v>
      </c>
      <c r="O17" s="48" t="s">
        <v>47</v>
      </c>
      <c r="P17" s="9"/>
      <c r="Q17" s="26"/>
    </row>
    <row r="18" spans="1:23" ht="15" thickBot="1" x14ac:dyDescent="0.35">
      <c r="A18">
        <v>101</v>
      </c>
      <c r="B18" s="3">
        <v>0.80745494115184835</v>
      </c>
      <c r="C18" s="2">
        <v>44.206565132471155</v>
      </c>
      <c r="D18" s="1">
        <v>2.7161877353743753</v>
      </c>
      <c r="E18" s="9">
        <f t="shared" si="0"/>
        <v>11.051641283117789</v>
      </c>
      <c r="F18" s="3">
        <f t="shared" si="1"/>
        <v>5.4323754707487508E-2</v>
      </c>
      <c r="G18">
        <f t="shared" ca="1" si="2"/>
        <v>2</v>
      </c>
      <c r="H18" s="9">
        <f t="shared" ca="1" si="3"/>
        <v>50</v>
      </c>
      <c r="I18" s="12">
        <f t="shared" si="4"/>
        <v>1</v>
      </c>
      <c r="J18" s="30">
        <f t="shared" ca="1" si="5"/>
        <v>38.948358716882211</v>
      </c>
      <c r="K18" s="45">
        <f t="shared" ca="1" si="6"/>
        <v>48.23595315587729</v>
      </c>
      <c r="L18" s="35">
        <f t="shared" si="7"/>
        <v>479.14744238438936</v>
      </c>
      <c r="P18" s="49" t="s">
        <v>6</v>
      </c>
      <c r="Q18" s="50" t="s">
        <v>48</v>
      </c>
      <c r="S18" s="103" t="s">
        <v>21</v>
      </c>
      <c r="T18" s="104"/>
    </row>
    <row r="19" spans="1:23" x14ac:dyDescent="0.3">
      <c r="A19">
        <v>561</v>
      </c>
      <c r="B19" s="3">
        <v>1.4930828690322018</v>
      </c>
      <c r="C19" s="2">
        <v>15.717982192987733</v>
      </c>
      <c r="D19" s="1">
        <v>2.6576969020460908</v>
      </c>
      <c r="E19" s="9">
        <f t="shared" si="0"/>
        <v>3.9294955482469334</v>
      </c>
      <c r="F19" s="3">
        <f t="shared" si="1"/>
        <v>5.3153938040921819E-2</v>
      </c>
      <c r="G19">
        <f t="shared" ca="1" si="2"/>
        <v>3</v>
      </c>
      <c r="H19" s="9">
        <f t="shared" ca="1" si="3"/>
        <v>75</v>
      </c>
      <c r="I19" s="12">
        <f t="shared" si="4"/>
        <v>1</v>
      </c>
      <c r="J19" s="30">
        <f t="shared" ca="1" si="5"/>
        <v>71.070504451753067</v>
      </c>
      <c r="K19" s="45">
        <f t="shared" ca="1" si="6"/>
        <v>47.599839182282032</v>
      </c>
      <c r="L19" s="35">
        <f t="shared" si="7"/>
        <v>477.65435951535716</v>
      </c>
      <c r="P19" s="9">
        <f ca="1">P13</f>
        <v>12927.006953925504</v>
      </c>
      <c r="Q19" s="26">
        <f ca="1">P14</f>
        <v>0.11601513240857503</v>
      </c>
      <c r="S19" s="75" t="s">
        <v>53</v>
      </c>
      <c r="T19" s="76">
        <f>COUNT(P20:P219)</f>
        <v>200</v>
      </c>
    </row>
    <row r="20" spans="1:23" x14ac:dyDescent="0.3">
      <c r="A20">
        <v>452</v>
      </c>
      <c r="B20" s="3">
        <v>2.9664193506709768</v>
      </c>
      <c r="C20" s="2">
        <v>45.146999143990016</v>
      </c>
      <c r="D20" s="1">
        <v>2.7475387723030509</v>
      </c>
      <c r="E20" s="9">
        <f t="shared" si="0"/>
        <v>11.286749785997504</v>
      </c>
      <c r="F20" s="3">
        <f t="shared" si="1"/>
        <v>5.4950775446061022E-2</v>
      </c>
      <c r="G20">
        <f t="shared" ca="1" si="2"/>
        <v>4</v>
      </c>
      <c r="H20" s="9">
        <f t="shared" ca="1" si="3"/>
        <v>100</v>
      </c>
      <c r="I20" s="12">
        <f t="shared" si="4"/>
        <v>1</v>
      </c>
      <c r="J20" s="30">
        <f t="shared" ca="1" si="5"/>
        <v>88.7132502140025</v>
      </c>
      <c r="K20" s="45">
        <f t="shared" ca="1" si="6"/>
        <v>29.905835867048392</v>
      </c>
      <c r="L20" s="35">
        <f t="shared" si="7"/>
        <v>474.68794016468615</v>
      </c>
      <c r="O20">
        <v>1</v>
      </c>
      <c r="P20" s="9">
        <f t="dataTable" ref="P20:Q219" dt2D="0" dtr="0" r1="N204" ca="1"/>
        <v>12577.006953925504</v>
      </c>
      <c r="Q20" s="26">
        <v>0.10137672090112641</v>
      </c>
      <c r="S20" s="64" t="s">
        <v>49</v>
      </c>
      <c r="T20" s="65">
        <f>MIN(P20:P219)</f>
        <v>12277.006953925504</v>
      </c>
    </row>
    <row r="21" spans="1:23" x14ac:dyDescent="0.3">
      <c r="A21">
        <v>445</v>
      </c>
      <c r="B21" s="3">
        <v>1.3048074469911486</v>
      </c>
      <c r="C21" s="2">
        <v>57.065490961730212</v>
      </c>
      <c r="D21" s="1">
        <v>1.0151076385329041</v>
      </c>
      <c r="E21" s="9">
        <f t="shared" si="0"/>
        <v>14.266372740432553</v>
      </c>
      <c r="F21" s="3">
        <f t="shared" si="1"/>
        <v>2.0302152770658083E-2</v>
      </c>
      <c r="G21">
        <f t="shared" ca="1" si="2"/>
        <v>0</v>
      </c>
      <c r="H21" s="9">
        <f t="shared" ca="1" si="3"/>
        <v>0</v>
      </c>
      <c r="I21" s="12">
        <f t="shared" si="4"/>
        <v>1</v>
      </c>
      <c r="J21" s="30">
        <f t="shared" ca="1" si="5"/>
        <v>-14.266372740432553</v>
      </c>
      <c r="K21" s="45">
        <f t="shared" ca="1" si="6"/>
        <v>-10.933699660689729</v>
      </c>
      <c r="L21" s="35">
        <f t="shared" si="7"/>
        <v>473.38313271769499</v>
      </c>
      <c r="O21">
        <v>2</v>
      </c>
      <c r="P21" s="9">
        <v>13402.006953925504</v>
      </c>
      <c r="Q21" s="26">
        <v>0.10558252427184465</v>
      </c>
      <c r="S21" s="64" t="s">
        <v>50</v>
      </c>
      <c r="T21" s="65">
        <f>MAX(P20:P219)</f>
        <v>14627.006953925504</v>
      </c>
    </row>
    <row r="22" spans="1:23" x14ac:dyDescent="0.3">
      <c r="A22">
        <v>911</v>
      </c>
      <c r="B22" s="3">
        <v>1.9335633747787351</v>
      </c>
      <c r="C22" s="2">
        <v>43.205483236656448</v>
      </c>
      <c r="D22" s="1">
        <v>2.5054151186286813</v>
      </c>
      <c r="E22" s="9">
        <f t="shared" si="0"/>
        <v>10.801370809164112</v>
      </c>
      <c r="F22" s="3">
        <f t="shared" si="1"/>
        <v>5.0108302372573625E-2</v>
      </c>
      <c r="G22">
        <f t="shared" ca="1" si="2"/>
        <v>2</v>
      </c>
      <c r="H22" s="9">
        <f t="shared" ca="1" si="3"/>
        <v>50</v>
      </c>
      <c r="I22" s="12">
        <f t="shared" si="4"/>
        <v>1</v>
      </c>
      <c r="J22" s="30">
        <f t="shared" ca="1" si="5"/>
        <v>39.198629190835888</v>
      </c>
      <c r="K22" s="45">
        <f t="shared" ca="1" si="6"/>
        <v>20.272740838050645</v>
      </c>
      <c r="L22" s="35">
        <f t="shared" si="7"/>
        <v>471.44956934291628</v>
      </c>
      <c r="O22">
        <v>3</v>
      </c>
      <c r="P22" s="9">
        <v>13477.006953925504</v>
      </c>
      <c r="Q22" s="26">
        <v>0.11308767471410419</v>
      </c>
      <c r="S22" s="64" t="s">
        <v>52</v>
      </c>
      <c r="T22" s="71">
        <f>AVERAGE(P20:P219)</f>
        <v>13348.2569539255</v>
      </c>
    </row>
    <row r="23" spans="1:23" x14ac:dyDescent="0.3">
      <c r="A23">
        <v>375</v>
      </c>
      <c r="B23" s="3">
        <v>0.89918657385703482</v>
      </c>
      <c r="C23" s="2">
        <v>39.624427424614318</v>
      </c>
      <c r="D23" s="1">
        <v>0.40697478420635397</v>
      </c>
      <c r="E23" s="9">
        <f t="shared" si="0"/>
        <v>9.9061068561535794</v>
      </c>
      <c r="F23" s="3">
        <f t="shared" si="1"/>
        <v>8.1394956841270797E-3</v>
      </c>
      <c r="G23">
        <f t="shared" ca="1" si="2"/>
        <v>0</v>
      </c>
      <c r="H23" s="9">
        <f t="shared" ca="1" si="3"/>
        <v>0</v>
      </c>
      <c r="I23" s="12">
        <f t="shared" si="4"/>
        <v>1</v>
      </c>
      <c r="J23" s="30">
        <f t="shared" ca="1" si="5"/>
        <v>-9.9061068561535794</v>
      </c>
      <c r="K23" s="45">
        <f t="shared" ca="1" si="6"/>
        <v>-11.016742402704725</v>
      </c>
      <c r="L23" s="35">
        <f t="shared" si="7"/>
        <v>470.55038276905924</v>
      </c>
      <c r="O23">
        <v>4</v>
      </c>
      <c r="P23" s="9">
        <v>13502.006953925504</v>
      </c>
      <c r="Q23" s="26">
        <v>0.11528822055137844</v>
      </c>
      <c r="S23" s="64" t="s">
        <v>51</v>
      </c>
      <c r="T23" s="72">
        <f>_xlfn.STDEV.S(P20:P219)</f>
        <v>496.66443936186261</v>
      </c>
    </row>
    <row r="24" spans="1:23" x14ac:dyDescent="0.3">
      <c r="A24">
        <v>537</v>
      </c>
      <c r="B24" s="3">
        <v>1.7950126880606188</v>
      </c>
      <c r="C24" s="2">
        <v>90.925769445749779</v>
      </c>
      <c r="D24" s="1">
        <v>2.6579714270564554</v>
      </c>
      <c r="E24" s="9">
        <f t="shared" si="0"/>
        <v>22.731442361437445</v>
      </c>
      <c r="F24" s="3">
        <f t="shared" si="1"/>
        <v>5.3159428541129108E-2</v>
      </c>
      <c r="G24">
        <f t="shared" ca="1" si="2"/>
        <v>2</v>
      </c>
      <c r="H24" s="9">
        <f t="shared" ca="1" si="3"/>
        <v>50</v>
      </c>
      <c r="I24" s="12">
        <f t="shared" si="4"/>
        <v>1</v>
      </c>
      <c r="J24" s="30">
        <f t="shared" ca="1" si="5"/>
        <v>27.268557638562555</v>
      </c>
      <c r="K24" s="45">
        <f t="shared" ca="1" si="6"/>
        <v>15.191289632623297</v>
      </c>
      <c r="L24" s="35">
        <f t="shared" si="7"/>
        <v>468.7553700809986</v>
      </c>
      <c r="O24">
        <v>5</v>
      </c>
      <c r="P24" s="9">
        <v>12877.006953925504</v>
      </c>
      <c r="Q24" s="26">
        <v>0.11627906976744186</v>
      </c>
      <c r="S24" s="102" t="s">
        <v>54</v>
      </c>
      <c r="T24" s="65">
        <f>T22-_xlfn.CONFIDENCE.T(0.05,T23,T19)</f>
        <v>13279.002866879886</v>
      </c>
      <c r="W24" s="2"/>
    </row>
    <row r="25" spans="1:23" x14ac:dyDescent="0.3">
      <c r="A25">
        <v>437</v>
      </c>
      <c r="B25" s="3">
        <v>2.7344924567040052</v>
      </c>
      <c r="C25" s="2">
        <v>51.064056911758861</v>
      </c>
      <c r="D25" s="1">
        <v>2.9999414682567993</v>
      </c>
      <c r="E25" s="9">
        <f t="shared" si="0"/>
        <v>12.766014227939715</v>
      </c>
      <c r="F25" s="3">
        <f t="shared" si="1"/>
        <v>5.9998829365135987E-2</v>
      </c>
      <c r="G25">
        <f t="shared" ca="1" si="2"/>
        <v>5</v>
      </c>
      <c r="H25" s="9">
        <f t="shared" ca="1" si="3"/>
        <v>125</v>
      </c>
      <c r="I25" s="12">
        <f t="shared" si="4"/>
        <v>1</v>
      </c>
      <c r="J25" s="30">
        <f t="shared" ca="1" si="5"/>
        <v>112.23398577206028</v>
      </c>
      <c r="K25" s="45">
        <f t="shared" ca="1" si="6"/>
        <v>41.043808878281006</v>
      </c>
      <c r="L25" s="35">
        <f t="shared" si="7"/>
        <v>466.0208776242946</v>
      </c>
      <c r="O25">
        <v>6</v>
      </c>
      <c r="P25" s="9">
        <v>13677.006953925504</v>
      </c>
      <c r="Q25" s="26">
        <v>0.11223203026481715</v>
      </c>
      <c r="S25" s="102"/>
      <c r="T25" s="65">
        <f>T22+_xlfn.CONFIDENCE.T(0.05,T23,T19)</f>
        <v>13417.511040971114</v>
      </c>
      <c r="W25" s="2"/>
    </row>
    <row r="26" spans="1:23" ht="14.4" customHeight="1" x14ac:dyDescent="0.3">
      <c r="A26">
        <v>131</v>
      </c>
      <c r="B26" s="3">
        <v>2.0023713218743779</v>
      </c>
      <c r="C26" s="2">
        <v>75.08130176375748</v>
      </c>
      <c r="D26" s="1">
        <v>2.198647144770252</v>
      </c>
      <c r="E26" s="9">
        <f t="shared" si="0"/>
        <v>18.77032544093937</v>
      </c>
      <c r="F26" s="3">
        <f t="shared" si="1"/>
        <v>4.3972942895405043E-2</v>
      </c>
      <c r="G26">
        <f t="shared" ca="1" si="2"/>
        <v>0</v>
      </c>
      <c r="H26" s="9">
        <f t="shared" ca="1" si="3"/>
        <v>0</v>
      </c>
      <c r="I26" s="12">
        <f t="shared" si="4"/>
        <v>1</v>
      </c>
      <c r="J26" s="30">
        <f t="shared" ca="1" si="5"/>
        <v>-18.77032544093937</v>
      </c>
      <c r="K26" s="45">
        <f t="shared" ca="1" si="6"/>
        <v>-9.374048277603606</v>
      </c>
      <c r="L26" s="35">
        <f t="shared" si="7"/>
        <v>464.01850630242023</v>
      </c>
      <c r="O26">
        <v>7</v>
      </c>
      <c r="P26" s="9">
        <v>14152.006953925504</v>
      </c>
      <c r="Q26" s="26">
        <v>0.11191335740072202</v>
      </c>
      <c r="S26" s="107" t="s">
        <v>61</v>
      </c>
      <c r="T26" s="77">
        <f>T22-(T23*2)</f>
        <v>12354.928075201775</v>
      </c>
    </row>
    <row r="27" spans="1:23" ht="15" thickBot="1" x14ac:dyDescent="0.35">
      <c r="A27">
        <v>91</v>
      </c>
      <c r="B27" s="3">
        <v>0.33735976863779937</v>
      </c>
      <c r="C27" s="2">
        <v>47.435302492539634</v>
      </c>
      <c r="D27" s="1">
        <v>1.403178780418642</v>
      </c>
      <c r="E27" s="9">
        <f t="shared" si="0"/>
        <v>11.858825623134909</v>
      </c>
      <c r="F27" s="3">
        <f t="shared" si="1"/>
        <v>2.8063575608372839E-2</v>
      </c>
      <c r="G27">
        <f t="shared" ca="1" si="2"/>
        <v>0</v>
      </c>
      <c r="H27" s="9">
        <f t="shared" ca="1" si="3"/>
        <v>0</v>
      </c>
      <c r="I27" s="12">
        <f t="shared" si="4"/>
        <v>1</v>
      </c>
      <c r="J27" s="30">
        <f t="shared" ca="1" si="5"/>
        <v>-11.858825623134909</v>
      </c>
      <c r="K27" s="45">
        <f t="shared" ca="1" si="6"/>
        <v>-35.151866717892304</v>
      </c>
      <c r="L27" s="35">
        <f t="shared" si="7"/>
        <v>463.68114653378245</v>
      </c>
      <c r="O27">
        <v>8</v>
      </c>
      <c r="P27" s="9">
        <v>12277.006953925504</v>
      </c>
      <c r="Q27" s="26">
        <v>0.12533333333333332</v>
      </c>
      <c r="S27" s="108"/>
      <c r="T27" s="66">
        <f>T22+(T23*2)</f>
        <v>14341.585832649225</v>
      </c>
    </row>
    <row r="28" spans="1:23" ht="15" thickBot="1" x14ac:dyDescent="0.35">
      <c r="A28">
        <v>423</v>
      </c>
      <c r="B28" s="3">
        <v>1.393934377638294</v>
      </c>
      <c r="C28" s="2">
        <v>1.2335276551146634</v>
      </c>
      <c r="D28" s="1">
        <v>3.2110051583354786</v>
      </c>
      <c r="E28" s="9">
        <f t="shared" si="0"/>
        <v>0.30838191377866586</v>
      </c>
      <c r="F28" s="3">
        <f t="shared" si="1"/>
        <v>6.4220103166709577E-2</v>
      </c>
      <c r="G28">
        <f t="shared" ca="1" si="2"/>
        <v>2</v>
      </c>
      <c r="H28" s="9">
        <f t="shared" ca="1" si="3"/>
        <v>50</v>
      </c>
      <c r="I28" s="12">
        <f t="shared" si="4"/>
        <v>1</v>
      </c>
      <c r="J28" s="30">
        <f t="shared" ca="1" si="5"/>
        <v>49.691618086221332</v>
      </c>
      <c r="K28" s="45">
        <f t="shared" ca="1" si="6"/>
        <v>35.648463000397854</v>
      </c>
      <c r="L28" s="35">
        <f t="shared" si="7"/>
        <v>462.28721215614416</v>
      </c>
      <c r="O28">
        <v>9</v>
      </c>
      <c r="P28" s="9">
        <v>14027.006953925504</v>
      </c>
      <c r="Q28" s="26">
        <v>0.10643564356435643</v>
      </c>
      <c r="T28" s="33"/>
    </row>
    <row r="29" spans="1:23" ht="15" thickBot="1" x14ac:dyDescent="0.35">
      <c r="A29">
        <v>1101</v>
      </c>
      <c r="B29" s="3">
        <v>3.7797107747075431</v>
      </c>
      <c r="C29" s="2">
        <v>72.776842359512912</v>
      </c>
      <c r="D29" s="1">
        <v>2.7091732189573881</v>
      </c>
      <c r="E29" s="9">
        <f t="shared" si="0"/>
        <v>18.194210589878228</v>
      </c>
      <c r="F29" s="3">
        <f t="shared" si="1"/>
        <v>5.4183464379147762E-2</v>
      </c>
      <c r="G29">
        <f t="shared" ca="1" si="2"/>
        <v>3</v>
      </c>
      <c r="H29" s="9">
        <f t="shared" ca="1" si="3"/>
        <v>75</v>
      </c>
      <c r="I29" s="12">
        <f t="shared" si="4"/>
        <v>1</v>
      </c>
      <c r="J29" s="30">
        <f t="shared" ca="1" si="5"/>
        <v>56.805789410121776</v>
      </c>
      <c r="K29" s="45">
        <f t="shared" ca="1" si="6"/>
        <v>15.029136565222283</v>
      </c>
      <c r="L29" s="35">
        <f t="shared" si="7"/>
        <v>458.50750138143661</v>
      </c>
      <c r="O29">
        <v>10</v>
      </c>
      <c r="P29" s="9">
        <v>12852.006953925504</v>
      </c>
      <c r="Q29" s="26">
        <v>0.11749680715197956</v>
      </c>
      <c r="S29" s="105" t="s">
        <v>55</v>
      </c>
      <c r="T29" s="106"/>
    </row>
    <row r="30" spans="1:23" x14ac:dyDescent="0.3">
      <c r="A30">
        <v>977</v>
      </c>
      <c r="B30" s="3">
        <v>1.3460155598940049</v>
      </c>
      <c r="C30" s="2">
        <v>14.426959271837092</v>
      </c>
      <c r="D30" s="1">
        <v>1.2479184762209665</v>
      </c>
      <c r="E30" s="9">
        <f t="shared" si="0"/>
        <v>3.6067398179592729</v>
      </c>
      <c r="F30" s="3">
        <f t="shared" si="1"/>
        <v>2.4958369524419332E-2</v>
      </c>
      <c r="G30">
        <f t="shared" ca="1" si="2"/>
        <v>2</v>
      </c>
      <c r="H30" s="9">
        <f t="shared" ca="1" si="3"/>
        <v>50</v>
      </c>
      <c r="I30" s="12">
        <f t="shared" si="4"/>
        <v>1</v>
      </c>
      <c r="J30" s="30">
        <f t="shared" ca="1" si="5"/>
        <v>46.393260182040727</v>
      </c>
      <c r="K30" s="45">
        <f t="shared" ca="1" si="6"/>
        <v>34.46710540678599</v>
      </c>
      <c r="L30" s="35">
        <f t="shared" si="7"/>
        <v>457.16148582154261</v>
      </c>
      <c r="O30">
        <v>11</v>
      </c>
      <c r="P30" s="9">
        <v>13052.006953925504</v>
      </c>
      <c r="Q30" s="26">
        <v>9.4645080946450813E-2</v>
      </c>
      <c r="S30" s="67" t="s">
        <v>53</v>
      </c>
      <c r="T30" s="68">
        <f>COUNT(Q20:Q219)</f>
        <v>200</v>
      </c>
    </row>
    <row r="31" spans="1:23" x14ac:dyDescent="0.3">
      <c r="A31">
        <v>31</v>
      </c>
      <c r="B31" s="3">
        <v>0.92553085588797601</v>
      </c>
      <c r="C31" s="2">
        <v>75.388159228417621</v>
      </c>
      <c r="D31" s="1">
        <v>0.94773551429482561</v>
      </c>
      <c r="E31" s="9">
        <f t="shared" si="0"/>
        <v>18.847039807104405</v>
      </c>
      <c r="F31" s="3">
        <f t="shared" si="1"/>
        <v>1.8954710285896511E-2</v>
      </c>
      <c r="G31">
        <f t="shared" ca="1" si="2"/>
        <v>2</v>
      </c>
      <c r="H31" s="9">
        <f t="shared" ca="1" si="3"/>
        <v>50</v>
      </c>
      <c r="I31" s="12">
        <f t="shared" si="4"/>
        <v>1</v>
      </c>
      <c r="J31" s="30">
        <f t="shared" ca="1" si="5"/>
        <v>31.152960192895595</v>
      </c>
      <c r="K31" s="45">
        <f t="shared" ca="1" si="6"/>
        <v>33.659558722120309</v>
      </c>
      <c r="L31" s="35">
        <f t="shared" si="7"/>
        <v>456.23595496565463</v>
      </c>
      <c r="O31">
        <v>12</v>
      </c>
      <c r="P31" s="9">
        <v>12677.006953925504</v>
      </c>
      <c r="Q31" s="26">
        <v>0.12305699481865284</v>
      </c>
      <c r="S31" s="64" t="s">
        <v>49</v>
      </c>
      <c r="T31" s="69">
        <f>MIN(Q20:Q219)</f>
        <v>7.9905992949471205E-2</v>
      </c>
    </row>
    <row r="32" spans="1:23" x14ac:dyDescent="0.3">
      <c r="A32">
        <v>948</v>
      </c>
      <c r="B32" s="3">
        <v>2.5989597031659271</v>
      </c>
      <c r="C32" s="2">
        <v>52.648277343692165</v>
      </c>
      <c r="D32" s="1">
        <v>2.6020930635261972</v>
      </c>
      <c r="E32" s="9">
        <f t="shared" si="0"/>
        <v>13.162069335923041</v>
      </c>
      <c r="F32" s="3">
        <f t="shared" si="1"/>
        <v>5.2041861270523945E-2</v>
      </c>
      <c r="G32">
        <f t="shared" ca="1" si="2"/>
        <v>1</v>
      </c>
      <c r="H32" s="9">
        <f t="shared" ca="1" si="3"/>
        <v>25</v>
      </c>
      <c r="I32" s="12">
        <f t="shared" si="4"/>
        <v>1</v>
      </c>
      <c r="J32" s="30">
        <f t="shared" ca="1" si="5"/>
        <v>11.837930664076959</v>
      </c>
      <c r="K32" s="45">
        <f t="shared" ca="1" si="6"/>
        <v>4.5548727245199547</v>
      </c>
      <c r="L32" s="35">
        <f t="shared" si="7"/>
        <v>453.63699526248871</v>
      </c>
      <c r="O32">
        <v>13</v>
      </c>
      <c r="P32" s="9">
        <v>12952.006953925504</v>
      </c>
      <c r="Q32" s="26">
        <v>0.12371134020618557</v>
      </c>
      <c r="S32" s="64" t="s">
        <v>50</v>
      </c>
      <c r="T32" s="69">
        <f>MAX(Q20:Q219)</f>
        <v>0.12898936170212766</v>
      </c>
    </row>
    <row r="33" spans="1:20" x14ac:dyDescent="0.3">
      <c r="A33">
        <v>1086</v>
      </c>
      <c r="B33" s="3">
        <v>3.6511156005401268</v>
      </c>
      <c r="C33" s="2">
        <v>14.824034646941387</v>
      </c>
      <c r="D33" s="1">
        <v>2.6724609240228827</v>
      </c>
      <c r="E33" s="9">
        <f t="shared" si="0"/>
        <v>3.7060086617353467</v>
      </c>
      <c r="F33" s="3">
        <f t="shared" si="1"/>
        <v>5.3449218480457653E-2</v>
      </c>
      <c r="G33">
        <f t="shared" ca="1" si="2"/>
        <v>1</v>
      </c>
      <c r="H33" s="9">
        <f t="shared" ca="1" si="3"/>
        <v>25</v>
      </c>
      <c r="I33" s="12">
        <f t="shared" si="4"/>
        <v>1</v>
      </c>
      <c r="J33" s="30">
        <f t="shared" ca="1" si="5"/>
        <v>21.293991338264654</v>
      </c>
      <c r="K33" s="45">
        <f t="shared" ca="1" si="6"/>
        <v>5.8321876565931063</v>
      </c>
      <c r="L33" s="35">
        <f t="shared" si="7"/>
        <v>449.98587966194856</v>
      </c>
      <c r="O33">
        <v>14</v>
      </c>
      <c r="P33" s="9">
        <v>14127.006953925504</v>
      </c>
      <c r="Q33" s="26">
        <v>8.7529976019184649E-2</v>
      </c>
      <c r="S33" s="64" t="s">
        <v>60</v>
      </c>
      <c r="T33" s="73">
        <f>AVERAGE(Q20:Q219)</f>
        <v>0.10786351094226099</v>
      </c>
    </row>
    <row r="34" spans="1:20" x14ac:dyDescent="0.3">
      <c r="A34">
        <v>357</v>
      </c>
      <c r="B34" s="3">
        <v>1.9687143421605768</v>
      </c>
      <c r="C34" s="2">
        <v>40.659911436870388</v>
      </c>
      <c r="D34" s="1">
        <v>1.5635688230731506</v>
      </c>
      <c r="E34" s="9">
        <f t="shared" si="0"/>
        <v>10.164977859217597</v>
      </c>
      <c r="F34" s="3">
        <f t="shared" si="1"/>
        <v>3.127137646146301E-2</v>
      </c>
      <c r="G34">
        <f t="shared" ca="1" si="2"/>
        <v>5</v>
      </c>
      <c r="H34" s="9">
        <f t="shared" ca="1" si="3"/>
        <v>125</v>
      </c>
      <c r="I34" s="12">
        <f t="shared" si="4"/>
        <v>1</v>
      </c>
      <c r="J34" s="30">
        <f t="shared" ca="1" si="5"/>
        <v>114.8350221407824</v>
      </c>
      <c r="K34" s="45">
        <f t="shared" ca="1" si="6"/>
        <v>58.329956602417013</v>
      </c>
      <c r="L34" s="35">
        <f t="shared" si="7"/>
        <v>448.01716531978798</v>
      </c>
      <c r="O34">
        <v>15</v>
      </c>
      <c r="P34" s="9">
        <v>13802.006953925504</v>
      </c>
      <c r="Q34" s="26">
        <v>0.1060419235511714</v>
      </c>
      <c r="S34" s="64" t="s">
        <v>51</v>
      </c>
      <c r="T34" s="74">
        <f>_xlfn.STDEV.S(Q20:Q219)</f>
        <v>1.0041724951289669E-2</v>
      </c>
    </row>
    <row r="35" spans="1:20" x14ac:dyDescent="0.3">
      <c r="A35">
        <v>237</v>
      </c>
      <c r="B35" s="3">
        <v>3.1091345564660191</v>
      </c>
      <c r="C35" s="2">
        <v>93.062008689975769</v>
      </c>
      <c r="D35" s="1">
        <v>2.1828649762581733</v>
      </c>
      <c r="E35" s="9">
        <f t="shared" si="0"/>
        <v>23.265502172493942</v>
      </c>
      <c r="F35" s="3">
        <f t="shared" si="1"/>
        <v>4.3657299525163465E-2</v>
      </c>
      <c r="G35">
        <f t="shared" ca="1" si="2"/>
        <v>5</v>
      </c>
      <c r="H35" s="9">
        <f t="shared" ca="1" si="3"/>
        <v>125</v>
      </c>
      <c r="I35" s="12">
        <f t="shared" si="4"/>
        <v>1</v>
      </c>
      <c r="J35" s="30">
        <f t="shared" ca="1" si="5"/>
        <v>101.73449782750606</v>
      </c>
      <c r="K35" s="45">
        <f t="shared" ca="1" si="6"/>
        <v>32.721162747984131</v>
      </c>
      <c r="L35" s="35">
        <f t="shared" si="7"/>
        <v>444.90803076332196</v>
      </c>
      <c r="O35">
        <v>16</v>
      </c>
      <c r="P35" s="9">
        <v>13052.006953925504</v>
      </c>
      <c r="Q35" s="26">
        <v>9.8540145985401464E-2</v>
      </c>
      <c r="S35" s="102" t="s">
        <v>54</v>
      </c>
      <c r="T35" s="70">
        <f>T33-_xlfn.CONFIDENCE.T(0.05,T34,T30)</f>
        <v>0.10646330903781569</v>
      </c>
    </row>
    <row r="36" spans="1:20" x14ac:dyDescent="0.3">
      <c r="A36">
        <v>369</v>
      </c>
      <c r="B36" s="3">
        <v>0.77954630192057506</v>
      </c>
      <c r="C36" s="2">
        <v>98.923876546700512</v>
      </c>
      <c r="D36" s="1">
        <v>1.0344286700388112</v>
      </c>
      <c r="E36" s="9">
        <f t="shared" si="0"/>
        <v>24.730969136675128</v>
      </c>
      <c r="F36" s="3">
        <f t="shared" si="1"/>
        <v>2.0688573400776226E-2</v>
      </c>
      <c r="G36">
        <f t="shared" ca="1" si="2"/>
        <v>0</v>
      </c>
      <c r="H36" s="9">
        <f t="shared" ca="1" si="3"/>
        <v>0</v>
      </c>
      <c r="I36" s="12">
        <f t="shared" si="4"/>
        <v>1</v>
      </c>
      <c r="J36" s="30">
        <f t="shared" ca="1" si="5"/>
        <v>-24.730969136675128</v>
      </c>
      <c r="K36" s="45">
        <f t="shared" ca="1" si="6"/>
        <v>-31.724823882488085</v>
      </c>
      <c r="L36" s="35">
        <f t="shared" si="7"/>
        <v>444.1284844614014</v>
      </c>
      <c r="O36">
        <v>17</v>
      </c>
      <c r="P36" s="9">
        <v>12877.006953925504</v>
      </c>
      <c r="Q36" s="26">
        <v>9.7468354430379753E-2</v>
      </c>
      <c r="S36" s="102"/>
      <c r="T36" s="70">
        <f>T33+_xlfn.CONFIDENCE.T(0.05,T34,T30)</f>
        <v>0.10926371284670629</v>
      </c>
    </row>
    <row r="37" spans="1:20" x14ac:dyDescent="0.3">
      <c r="A37">
        <v>160</v>
      </c>
      <c r="B37" s="3">
        <v>2.8988993905741078</v>
      </c>
      <c r="C37" s="2">
        <v>28.178925172206469</v>
      </c>
      <c r="D37" s="1">
        <v>2.3472454222929566</v>
      </c>
      <c r="E37" s="9">
        <f t="shared" si="0"/>
        <v>7.0447312930516173</v>
      </c>
      <c r="F37" s="3">
        <f t="shared" si="1"/>
        <v>4.6944908445859135E-2</v>
      </c>
      <c r="G37">
        <f t="shared" ca="1" si="2"/>
        <v>1</v>
      </c>
      <c r="H37" s="9">
        <f t="shared" ca="1" si="3"/>
        <v>25</v>
      </c>
      <c r="I37" s="12">
        <f t="shared" si="4"/>
        <v>1</v>
      </c>
      <c r="J37" s="30">
        <f t="shared" ca="1" si="5"/>
        <v>17.955268706948381</v>
      </c>
      <c r="K37" s="45">
        <f t="shared" ca="1" si="6"/>
        <v>6.1938226505309864</v>
      </c>
      <c r="L37" s="35">
        <f t="shared" si="7"/>
        <v>441.22958507082728</v>
      </c>
      <c r="O37">
        <v>18</v>
      </c>
      <c r="P37" s="9">
        <v>13402.006953925504</v>
      </c>
      <c r="Q37" s="26">
        <v>9.1352009744214369E-2</v>
      </c>
      <c r="S37" s="107" t="s">
        <v>61</v>
      </c>
      <c r="T37" s="79">
        <f>T33-(T34*2)</f>
        <v>8.7780061039681653E-2</v>
      </c>
    </row>
    <row r="38" spans="1:20" ht="15" thickBot="1" x14ac:dyDescent="0.35">
      <c r="A38">
        <v>787</v>
      </c>
      <c r="B38" s="3">
        <v>2.1268036754128983</v>
      </c>
      <c r="C38" s="2">
        <v>28.766179046809803</v>
      </c>
      <c r="D38" s="1">
        <v>0.95897253261019488</v>
      </c>
      <c r="E38" s="9">
        <f t="shared" si="0"/>
        <v>7.1915447617024508</v>
      </c>
      <c r="F38" s="3">
        <f t="shared" si="1"/>
        <v>1.9179450652203899E-2</v>
      </c>
      <c r="G38">
        <f t="shared" ca="1" si="2"/>
        <v>0</v>
      </c>
      <c r="H38" s="9">
        <f t="shared" ca="1" si="3"/>
        <v>0</v>
      </c>
      <c r="I38" s="12">
        <f t="shared" si="4"/>
        <v>1</v>
      </c>
      <c r="J38" s="30">
        <f t="shared" ca="1" si="5"/>
        <v>-7.1915447617024508</v>
      </c>
      <c r="K38" s="45">
        <f t="shared" ca="1" si="6"/>
        <v>-3.3813862769003737</v>
      </c>
      <c r="L38" s="35">
        <f t="shared" si="7"/>
        <v>439.10278139541441</v>
      </c>
      <c r="O38">
        <v>19</v>
      </c>
      <c r="P38" s="9">
        <v>13277.006953925504</v>
      </c>
      <c r="Q38" s="26">
        <v>9.9009900990099015E-2</v>
      </c>
      <c r="S38" s="108"/>
      <c r="T38" s="80">
        <f>T33+(T34*2)</f>
        <v>0.12794696084484034</v>
      </c>
    </row>
    <row r="39" spans="1:20" x14ac:dyDescent="0.3">
      <c r="A39">
        <v>909</v>
      </c>
      <c r="B39" s="3">
        <v>3.5885136494259342</v>
      </c>
      <c r="C39" s="2">
        <v>49.544259556649862</v>
      </c>
      <c r="D39" s="1">
        <v>3.0070392667554442</v>
      </c>
      <c r="E39" s="9">
        <f t="shared" si="0"/>
        <v>12.386064889162466</v>
      </c>
      <c r="F39" s="3">
        <f t="shared" si="1"/>
        <v>6.0140785335108887E-2</v>
      </c>
      <c r="G39">
        <f t="shared" ca="1" si="2"/>
        <v>4</v>
      </c>
      <c r="H39" s="9">
        <f t="shared" ca="1" si="3"/>
        <v>100</v>
      </c>
      <c r="I39" s="12">
        <f t="shared" si="4"/>
        <v>1</v>
      </c>
      <c r="J39" s="30">
        <f t="shared" ca="1" si="5"/>
        <v>87.613935110837531</v>
      </c>
      <c r="K39" s="45">
        <f t="shared" ca="1" si="6"/>
        <v>24.415104321772166</v>
      </c>
      <c r="L39" s="35">
        <f t="shared" si="7"/>
        <v>435.51426774598849</v>
      </c>
      <c r="O39">
        <v>20</v>
      </c>
      <c r="P39" s="9">
        <v>13377.006953925504</v>
      </c>
      <c r="Q39" s="26">
        <v>9.003601440576231E-2</v>
      </c>
      <c r="T39" s="78"/>
    </row>
    <row r="40" spans="1:20" x14ac:dyDescent="0.3">
      <c r="A40">
        <v>982</v>
      </c>
      <c r="B40" s="3">
        <v>0.33735976863779937</v>
      </c>
      <c r="C40" s="2">
        <v>57.704951339070263</v>
      </c>
      <c r="D40" s="1">
        <v>2.9035709185058072</v>
      </c>
      <c r="E40" s="9">
        <f t="shared" si="0"/>
        <v>14.426237834767566</v>
      </c>
      <c r="F40" s="3">
        <f t="shared" si="1"/>
        <v>5.8071418370116146E-2</v>
      </c>
      <c r="G40">
        <f t="shared" ca="1" si="2"/>
        <v>3</v>
      </c>
      <c r="H40" s="9">
        <f t="shared" ca="1" si="3"/>
        <v>75</v>
      </c>
      <c r="I40" s="12">
        <f t="shared" si="4"/>
        <v>1</v>
      </c>
      <c r="J40" s="30">
        <f t="shared" ca="1" si="5"/>
        <v>60.573762165232438</v>
      </c>
      <c r="K40" s="45">
        <f t="shared" ca="1" si="6"/>
        <v>179.55241791224501</v>
      </c>
      <c r="L40" s="35">
        <f t="shared" si="7"/>
        <v>435.17690797735071</v>
      </c>
      <c r="O40">
        <v>21</v>
      </c>
      <c r="P40" s="9">
        <v>14027.006953925504</v>
      </c>
      <c r="Q40" s="26">
        <v>9.915356711003627E-2</v>
      </c>
      <c r="T40" s="78"/>
    </row>
    <row r="41" spans="1:20" x14ac:dyDescent="0.3">
      <c r="A41">
        <v>238</v>
      </c>
      <c r="B41" s="3">
        <v>2.8667342608148338</v>
      </c>
      <c r="C41" s="2">
        <v>48.28985237351192</v>
      </c>
      <c r="D41" s="1">
        <v>2.8999449069990835</v>
      </c>
      <c r="E41" s="9">
        <f t="shared" si="0"/>
        <v>12.07246309337798</v>
      </c>
      <c r="F41" s="3">
        <f t="shared" si="1"/>
        <v>5.7998898139981672E-2</v>
      </c>
      <c r="G41">
        <f t="shared" ca="1" si="2"/>
        <v>4</v>
      </c>
      <c r="H41" s="9">
        <f t="shared" ca="1" si="3"/>
        <v>100</v>
      </c>
      <c r="I41" s="12">
        <f t="shared" si="4"/>
        <v>1</v>
      </c>
      <c r="J41" s="30">
        <f t="shared" ca="1" si="5"/>
        <v>87.927536906622024</v>
      </c>
      <c r="K41" s="45">
        <f t="shared" ca="1" si="6"/>
        <v>30.67167337708857</v>
      </c>
      <c r="L41" s="35">
        <f t="shared" si="7"/>
        <v>432.31017371653587</v>
      </c>
      <c r="O41">
        <v>22</v>
      </c>
      <c r="P41" s="9">
        <v>14002.006953925504</v>
      </c>
      <c r="Q41" s="26">
        <v>0.1015531660692951</v>
      </c>
      <c r="S41" s="99" t="s">
        <v>59</v>
      </c>
      <c r="T41" s="100"/>
    </row>
    <row r="42" spans="1:20" x14ac:dyDescent="0.3">
      <c r="A42">
        <v>88</v>
      </c>
      <c r="B42" s="3">
        <v>1.4930828690322018</v>
      </c>
      <c r="C42" s="2">
        <v>17.674599995288499</v>
      </c>
      <c r="D42" s="1">
        <v>1.1766178104424458</v>
      </c>
      <c r="E42" s="9">
        <f t="shared" si="0"/>
        <v>4.4186499988221248</v>
      </c>
      <c r="F42" s="3">
        <f t="shared" si="1"/>
        <v>2.3532356208848918E-2</v>
      </c>
      <c r="G42">
        <f t="shared" ca="1" si="2"/>
        <v>3</v>
      </c>
      <c r="H42" s="9">
        <f t="shared" ca="1" si="3"/>
        <v>75</v>
      </c>
      <c r="I42" s="12">
        <f t="shared" si="4"/>
        <v>1</v>
      </c>
      <c r="J42" s="30">
        <f t="shared" ca="1" si="5"/>
        <v>70.581350001177881</v>
      </c>
      <c r="K42" s="45">
        <f t="shared" ca="1" si="6"/>
        <v>47.272225450505545</v>
      </c>
      <c r="L42" s="35">
        <f t="shared" si="7"/>
        <v>430.81709084750366</v>
      </c>
      <c r="O42">
        <v>23</v>
      </c>
      <c r="P42" s="9">
        <v>13152.006953925504</v>
      </c>
      <c r="Q42" s="26">
        <v>0.10736579275905118</v>
      </c>
      <c r="S42" s="61" t="s">
        <v>56</v>
      </c>
      <c r="T42" s="60" t="s">
        <v>57</v>
      </c>
    </row>
    <row r="43" spans="1:20" x14ac:dyDescent="0.3">
      <c r="A43">
        <v>951</v>
      </c>
      <c r="B43" s="3">
        <v>2.621341523654638</v>
      </c>
      <c r="C43" s="2">
        <v>86.065097671960714</v>
      </c>
      <c r="D43" s="1">
        <v>2.6247247209377544</v>
      </c>
      <c r="E43" s="9">
        <f t="shared" si="0"/>
        <v>21.516274417990179</v>
      </c>
      <c r="F43" s="3">
        <f t="shared" si="1"/>
        <v>5.2494494418755089E-2</v>
      </c>
      <c r="G43">
        <f t="shared" ca="1" si="2"/>
        <v>4</v>
      </c>
      <c r="H43" s="9">
        <f t="shared" ca="1" si="3"/>
        <v>100</v>
      </c>
      <c r="I43" s="12">
        <f t="shared" si="4"/>
        <v>1</v>
      </c>
      <c r="J43" s="30">
        <f t="shared" ca="1" si="5"/>
        <v>78.483725582009825</v>
      </c>
      <c r="K43" s="45">
        <f t="shared" ca="1" si="6"/>
        <v>29.940290066663614</v>
      </c>
      <c r="L43" s="35">
        <f t="shared" si="7"/>
        <v>428.19574932384904</v>
      </c>
      <c r="O43">
        <v>24</v>
      </c>
      <c r="P43" s="9">
        <v>13852.006953925504</v>
      </c>
      <c r="Q43" s="26">
        <v>0.10365853658536585</v>
      </c>
      <c r="S43" s="56">
        <v>0</v>
      </c>
      <c r="T43" s="55" cm="1">
        <f t="array" ref="T43:T60">FREQUENCY(P20:P219,S43:S59)</f>
        <v>0</v>
      </c>
    </row>
    <row r="44" spans="1:20" x14ac:dyDescent="0.3">
      <c r="A44">
        <v>516</v>
      </c>
      <c r="B44" s="3">
        <v>2.9214487533555857</v>
      </c>
      <c r="C44" s="2">
        <v>50.293624079647927</v>
      </c>
      <c r="D44" s="1">
        <v>2.0706819089538282</v>
      </c>
      <c r="E44" s="9">
        <f t="shared" si="0"/>
        <v>12.573406019911982</v>
      </c>
      <c r="F44" s="3">
        <f t="shared" si="1"/>
        <v>4.1413638179076562E-2</v>
      </c>
      <c r="G44">
        <f t="shared" ca="1" si="2"/>
        <v>2</v>
      </c>
      <c r="H44" s="9">
        <f t="shared" ca="1" si="3"/>
        <v>50</v>
      </c>
      <c r="I44" s="12">
        <f t="shared" si="4"/>
        <v>1</v>
      </c>
      <c r="J44" s="30">
        <f t="shared" ca="1" si="5"/>
        <v>37.426593980088015</v>
      </c>
      <c r="K44" s="45">
        <f t="shared" ca="1" si="6"/>
        <v>12.810970562841366</v>
      </c>
      <c r="L44" s="35">
        <f t="shared" si="7"/>
        <v>425.27430057049344</v>
      </c>
      <c r="O44">
        <v>25</v>
      </c>
      <c r="P44" s="9">
        <v>12727.006953925504</v>
      </c>
      <c r="Q44" s="26">
        <v>0.11026615969581749</v>
      </c>
      <c r="S44" s="56">
        <v>19000</v>
      </c>
      <c r="T44" s="55">
        <v>200</v>
      </c>
    </row>
    <row r="45" spans="1:20" x14ac:dyDescent="0.3">
      <c r="A45">
        <v>655</v>
      </c>
      <c r="B45" s="3">
        <v>2.8162687031453326</v>
      </c>
      <c r="C45" s="2">
        <v>72.832155579275053</v>
      </c>
      <c r="D45" s="1">
        <v>2.3391197770865815</v>
      </c>
      <c r="E45" s="9">
        <f t="shared" si="0"/>
        <v>18.208038894818763</v>
      </c>
      <c r="F45" s="3">
        <f t="shared" si="1"/>
        <v>4.6782395541731629E-2</v>
      </c>
      <c r="G45">
        <f t="shared" ca="1" si="2"/>
        <v>6</v>
      </c>
      <c r="H45" s="9">
        <f t="shared" ca="1" si="3"/>
        <v>150</v>
      </c>
      <c r="I45" s="12">
        <f t="shared" si="4"/>
        <v>1</v>
      </c>
      <c r="J45" s="30">
        <f t="shared" ca="1" si="5"/>
        <v>131.79196110518123</v>
      </c>
      <c r="K45" s="45">
        <f t="shared" ca="1" si="6"/>
        <v>46.796657207456867</v>
      </c>
      <c r="L45" s="35">
        <f t="shared" si="7"/>
        <v>422.4580318673481</v>
      </c>
      <c r="O45">
        <v>26</v>
      </c>
      <c r="P45" s="9">
        <v>13502.006953925504</v>
      </c>
      <c r="Q45" s="26">
        <v>8.5645355850422197E-2</v>
      </c>
      <c r="S45" s="56">
        <v>19500</v>
      </c>
      <c r="T45" s="55">
        <v>0</v>
      </c>
    </row>
    <row r="46" spans="1:20" x14ac:dyDescent="0.3">
      <c r="A46">
        <v>764</v>
      </c>
      <c r="B46" s="3">
        <v>1.5783199717317542</v>
      </c>
      <c r="C46" s="2">
        <v>17.506582498632739</v>
      </c>
      <c r="D46" s="1">
        <v>2.5632411608715255</v>
      </c>
      <c r="E46" s="9">
        <f t="shared" si="0"/>
        <v>4.3766456246581846</v>
      </c>
      <c r="F46" s="3">
        <f t="shared" si="1"/>
        <v>5.1264823217430512E-2</v>
      </c>
      <c r="G46">
        <f t="shared" ca="1" si="2"/>
        <v>2</v>
      </c>
      <c r="H46" s="9">
        <f t="shared" ca="1" si="3"/>
        <v>50</v>
      </c>
      <c r="I46" s="12">
        <f t="shared" si="4"/>
        <v>1</v>
      </c>
      <c r="J46" s="30">
        <f t="shared" ca="1" si="5"/>
        <v>45.623354375341819</v>
      </c>
      <c r="K46" s="45">
        <f t="shared" ca="1" si="6"/>
        <v>28.906277049312916</v>
      </c>
      <c r="L46" s="35">
        <f t="shared" si="7"/>
        <v>420.87971189561637</v>
      </c>
      <c r="O46">
        <v>27</v>
      </c>
      <c r="P46" s="9">
        <v>13127.006953925504</v>
      </c>
      <c r="Q46" s="26">
        <v>0.10661764705882353</v>
      </c>
      <c r="S46" s="56">
        <v>20000</v>
      </c>
      <c r="T46" s="55">
        <v>0</v>
      </c>
    </row>
    <row r="47" spans="1:20" x14ac:dyDescent="0.3">
      <c r="A47">
        <v>902</v>
      </c>
      <c r="B47" s="3">
        <v>3.2951711710406908</v>
      </c>
      <c r="C47" s="2">
        <v>25.369400074618088</v>
      </c>
      <c r="D47" s="1">
        <v>2.4600252857721698</v>
      </c>
      <c r="E47" s="9">
        <f t="shared" si="0"/>
        <v>6.3423500186545221</v>
      </c>
      <c r="F47" s="3">
        <f t="shared" si="1"/>
        <v>4.9200505715443398E-2</v>
      </c>
      <c r="G47">
        <f t="shared" ca="1" si="2"/>
        <v>1</v>
      </c>
      <c r="H47" s="9">
        <f t="shared" ca="1" si="3"/>
        <v>25</v>
      </c>
      <c r="I47" s="12">
        <f t="shared" si="4"/>
        <v>1</v>
      </c>
      <c r="J47" s="30">
        <f t="shared" ca="1" si="5"/>
        <v>18.657649981345479</v>
      </c>
      <c r="K47" s="45">
        <f t="shared" ca="1" si="6"/>
        <v>5.6621186010962106</v>
      </c>
      <c r="L47" s="35">
        <f t="shared" si="7"/>
        <v>417.58454072457567</v>
      </c>
      <c r="O47">
        <v>28</v>
      </c>
      <c r="P47" s="9">
        <v>13677.006953925504</v>
      </c>
      <c r="Q47" s="26">
        <v>8.7980173482032215E-2</v>
      </c>
      <c r="S47" s="56">
        <v>20500</v>
      </c>
      <c r="T47" s="55">
        <v>0</v>
      </c>
    </row>
    <row r="48" spans="1:20" x14ac:dyDescent="0.3">
      <c r="A48">
        <v>217</v>
      </c>
      <c r="B48" s="3">
        <v>3.4400274060550249</v>
      </c>
      <c r="C48" s="2">
        <v>13.071885606202628</v>
      </c>
      <c r="D48" s="1">
        <v>2.6731938158554676</v>
      </c>
      <c r="E48" s="9">
        <f t="shared" si="0"/>
        <v>3.2679714015506569</v>
      </c>
      <c r="F48" s="3">
        <f t="shared" si="1"/>
        <v>5.3463876317109353E-2</v>
      </c>
      <c r="G48">
        <f t="shared" ca="1" si="2"/>
        <v>3</v>
      </c>
      <c r="H48" s="9">
        <f t="shared" ca="1" si="3"/>
        <v>75</v>
      </c>
      <c r="I48" s="12">
        <f t="shared" si="4"/>
        <v>1</v>
      </c>
      <c r="J48" s="30">
        <f t="shared" ca="1" si="5"/>
        <v>71.732028598449347</v>
      </c>
      <c r="K48" s="45">
        <f t="shared" ca="1" si="6"/>
        <v>20.852167768253519</v>
      </c>
      <c r="L48" s="35">
        <f t="shared" si="7"/>
        <v>414.14451331852064</v>
      </c>
      <c r="O48">
        <v>29</v>
      </c>
      <c r="P48" s="9">
        <v>14302.006953925504</v>
      </c>
      <c r="Q48" s="26">
        <v>0.11070998796630566</v>
      </c>
      <c r="S48" s="56">
        <v>21000</v>
      </c>
      <c r="T48" s="55">
        <v>0</v>
      </c>
    </row>
    <row r="49" spans="1:20" x14ac:dyDescent="0.3">
      <c r="A49">
        <v>956</v>
      </c>
      <c r="B49" s="3">
        <v>4.3910514863551899</v>
      </c>
      <c r="C49" s="2">
        <v>7.4776300999606864</v>
      </c>
      <c r="D49" s="1">
        <v>2.3296747184912898</v>
      </c>
      <c r="E49" s="9">
        <f t="shared" si="0"/>
        <v>1.8694075249901716</v>
      </c>
      <c r="F49" s="3">
        <f t="shared" si="1"/>
        <v>4.6593494369825794E-2</v>
      </c>
      <c r="G49">
        <f t="shared" ca="1" si="2"/>
        <v>1</v>
      </c>
      <c r="H49" s="9">
        <f t="shared" ca="1" si="3"/>
        <v>25</v>
      </c>
      <c r="I49" s="12">
        <f t="shared" si="4"/>
        <v>1</v>
      </c>
      <c r="J49" s="30">
        <f t="shared" ca="1" si="5"/>
        <v>23.130592475009827</v>
      </c>
      <c r="K49" s="45">
        <f t="shared" ca="1" si="6"/>
        <v>5.2676659672258745</v>
      </c>
      <c r="L49" s="35">
        <f t="shared" si="7"/>
        <v>409.75346183216544</v>
      </c>
      <c r="O49">
        <v>30</v>
      </c>
      <c r="P49" s="9">
        <v>13877.006953925504</v>
      </c>
      <c r="Q49" s="26">
        <v>9.2417061611374404E-2</v>
      </c>
      <c r="S49" s="56">
        <v>21500</v>
      </c>
      <c r="T49" s="55">
        <v>0</v>
      </c>
    </row>
    <row r="50" spans="1:20" x14ac:dyDescent="0.3">
      <c r="A50">
        <v>387</v>
      </c>
      <c r="B50" s="3">
        <v>3.2750028386886876</v>
      </c>
      <c r="C50" s="2">
        <v>36.826065290398482</v>
      </c>
      <c r="D50" s="1">
        <v>0.54414757171076356</v>
      </c>
      <c r="E50" s="9">
        <f t="shared" si="0"/>
        <v>9.2065163225996205</v>
      </c>
      <c r="F50" s="3">
        <f t="shared" si="1"/>
        <v>1.0882951434215271E-2</v>
      </c>
      <c r="G50">
        <f t="shared" ca="1" si="2"/>
        <v>0</v>
      </c>
      <c r="H50" s="9">
        <f t="shared" ca="1" si="3"/>
        <v>0</v>
      </c>
      <c r="I50" s="12">
        <f t="shared" si="4"/>
        <v>1</v>
      </c>
      <c r="J50" s="30">
        <f t="shared" ca="1" si="5"/>
        <v>-9.2065163225996205</v>
      </c>
      <c r="K50" s="45">
        <f t="shared" ca="1" si="6"/>
        <v>-2.8111475855348917</v>
      </c>
      <c r="L50" s="35">
        <f t="shared" si="7"/>
        <v>406.47845899347675</v>
      </c>
      <c r="O50">
        <v>31</v>
      </c>
      <c r="P50" s="9">
        <v>12552.006953925504</v>
      </c>
      <c r="Q50" s="26">
        <v>0.10970996216897856</v>
      </c>
      <c r="S50" s="56">
        <v>22000</v>
      </c>
      <c r="T50" s="55">
        <v>0</v>
      </c>
    </row>
    <row r="51" spans="1:20" x14ac:dyDescent="0.3">
      <c r="A51">
        <v>898</v>
      </c>
      <c r="B51" s="3">
        <v>2.442217949644212</v>
      </c>
      <c r="C51" s="2">
        <v>29.731882313102865</v>
      </c>
      <c r="D51" s="1">
        <v>1.8582243358425123</v>
      </c>
      <c r="E51" s="9">
        <f t="shared" si="0"/>
        <v>7.4329705782757163</v>
      </c>
      <c r="F51" s="3">
        <f t="shared" si="1"/>
        <v>3.7164486716850249E-2</v>
      </c>
      <c r="G51">
        <f t="shared" ca="1" si="2"/>
        <v>1</v>
      </c>
      <c r="H51" s="9">
        <f t="shared" ca="1" si="3"/>
        <v>25</v>
      </c>
      <c r="I51" s="12">
        <f t="shared" si="4"/>
        <v>1</v>
      </c>
      <c r="J51" s="30">
        <f t="shared" ca="1" si="5"/>
        <v>17.567029421724285</v>
      </c>
      <c r="K51" s="45">
        <f t="shared" ca="1" si="6"/>
        <v>7.1930637575911236</v>
      </c>
      <c r="L51" s="35">
        <f t="shared" si="7"/>
        <v>404.03624104383255</v>
      </c>
      <c r="O51">
        <v>32</v>
      </c>
      <c r="P51" s="9">
        <v>12527.006953925504</v>
      </c>
      <c r="Q51" s="26">
        <v>0.12746386333771353</v>
      </c>
      <c r="S51" s="56">
        <v>22500</v>
      </c>
      <c r="T51" s="55">
        <v>0</v>
      </c>
    </row>
    <row r="52" spans="1:20" x14ac:dyDescent="0.3">
      <c r="A52">
        <v>881</v>
      </c>
      <c r="B52" s="3">
        <v>2.0578832456965057</v>
      </c>
      <c r="C52" s="2">
        <v>77.377469664625195</v>
      </c>
      <c r="D52" s="1">
        <v>2.4512612306009425</v>
      </c>
      <c r="E52" s="9">
        <f t="shared" si="0"/>
        <v>19.344367416156299</v>
      </c>
      <c r="F52" s="3">
        <f t="shared" si="1"/>
        <v>4.9025224612018851E-2</v>
      </c>
      <c r="G52">
        <f t="shared" ca="1" si="2"/>
        <v>7</v>
      </c>
      <c r="H52" s="9">
        <f t="shared" ca="1" si="3"/>
        <v>175</v>
      </c>
      <c r="I52" s="12">
        <f t="shared" si="4"/>
        <v>1</v>
      </c>
      <c r="J52" s="30">
        <f t="shared" ca="1" si="5"/>
        <v>155.6556325838437</v>
      </c>
      <c r="K52" s="45">
        <f t="shared" ca="1" si="6"/>
        <v>75.638709294783581</v>
      </c>
      <c r="L52" s="35">
        <f t="shared" si="7"/>
        <v>401.97835779813602</v>
      </c>
      <c r="O52">
        <v>33</v>
      </c>
      <c r="P52" s="9">
        <v>13677.006953925504</v>
      </c>
      <c r="Q52" s="26">
        <v>9.2548076923076927E-2</v>
      </c>
      <c r="S52" s="56">
        <v>23000</v>
      </c>
      <c r="T52" s="55">
        <v>0</v>
      </c>
    </row>
    <row r="53" spans="1:20" x14ac:dyDescent="0.3">
      <c r="A53">
        <v>850</v>
      </c>
      <c r="B53" s="3">
        <v>4.0757995580193445</v>
      </c>
      <c r="C53" s="2">
        <v>59.347643989919504</v>
      </c>
      <c r="D53" s="1">
        <v>2.9846122570688705</v>
      </c>
      <c r="E53" s="9">
        <f t="shared" si="0"/>
        <v>14.836910997479876</v>
      </c>
      <c r="F53" s="3">
        <f t="shared" si="1"/>
        <v>5.9692245141377408E-2</v>
      </c>
      <c r="G53">
        <f t="shared" ca="1" si="2"/>
        <v>3</v>
      </c>
      <c r="H53" s="9">
        <f t="shared" ca="1" si="3"/>
        <v>75</v>
      </c>
      <c r="I53" s="12">
        <f t="shared" si="4"/>
        <v>1</v>
      </c>
      <c r="J53" s="30">
        <f t="shared" ca="1" si="5"/>
        <v>60.163089002520124</v>
      </c>
      <c r="K53" s="45">
        <f t="shared" ca="1" si="6"/>
        <v>14.761051947254414</v>
      </c>
      <c r="L53" s="35">
        <f t="shared" si="7"/>
        <v>397.90255824011666</v>
      </c>
      <c r="O53">
        <v>34</v>
      </c>
      <c r="P53" s="9">
        <v>13127.006953925504</v>
      </c>
      <c r="Q53" s="26">
        <v>0.10651629072681704</v>
      </c>
      <c r="S53" s="56">
        <v>23500</v>
      </c>
      <c r="T53" s="55">
        <v>0</v>
      </c>
    </row>
    <row r="54" spans="1:20" x14ac:dyDescent="0.3">
      <c r="A54">
        <v>773</v>
      </c>
      <c r="B54" s="3">
        <v>1.9363917638227557</v>
      </c>
      <c r="C54" s="2">
        <v>90.929689743552643</v>
      </c>
      <c r="D54" s="1">
        <v>3.0687322626052684</v>
      </c>
      <c r="E54" s="9">
        <f t="shared" si="0"/>
        <v>22.732422435888161</v>
      </c>
      <c r="F54" s="3">
        <f t="shared" si="1"/>
        <v>6.137464525210537E-2</v>
      </c>
      <c r="G54">
        <f t="shared" ca="1" si="2"/>
        <v>1</v>
      </c>
      <c r="H54" s="9">
        <f t="shared" ca="1" si="3"/>
        <v>25</v>
      </c>
      <c r="I54" s="12">
        <f t="shared" si="4"/>
        <v>1</v>
      </c>
      <c r="J54" s="30">
        <f t="shared" ca="1" si="5"/>
        <v>2.2675775641118392</v>
      </c>
      <c r="K54" s="45">
        <f t="shared" ca="1" si="6"/>
        <v>1.1710324359339706</v>
      </c>
      <c r="L54" s="35">
        <f t="shared" si="7"/>
        <v>395.96616647629389</v>
      </c>
      <c r="O54">
        <v>35</v>
      </c>
      <c r="P54" s="9">
        <v>12952.006953925504</v>
      </c>
      <c r="Q54" s="26">
        <v>0.10651629072681704</v>
      </c>
      <c r="S54" s="56">
        <v>24000</v>
      </c>
      <c r="T54" s="55">
        <v>0</v>
      </c>
    </row>
    <row r="55" spans="1:20" x14ac:dyDescent="0.3">
      <c r="A55">
        <v>86</v>
      </c>
      <c r="B55" s="3">
        <v>0.91356623421294469</v>
      </c>
      <c r="C55" s="2">
        <v>1.6885604048754499</v>
      </c>
      <c r="D55" s="1">
        <v>1.7464155704895665</v>
      </c>
      <c r="E55" s="9">
        <f t="shared" si="0"/>
        <v>0.42214010121886247</v>
      </c>
      <c r="F55" s="3">
        <f t="shared" si="1"/>
        <v>3.4928311409791329E-2</v>
      </c>
      <c r="G55">
        <f t="shared" ca="1" si="2"/>
        <v>1</v>
      </c>
      <c r="H55" s="9">
        <f t="shared" ca="1" si="3"/>
        <v>25</v>
      </c>
      <c r="I55" s="12">
        <f t="shared" si="4"/>
        <v>1</v>
      </c>
      <c r="J55" s="30">
        <f t="shared" ca="1" si="5"/>
        <v>24.577859898781139</v>
      </c>
      <c r="K55" s="45">
        <f t="shared" ca="1" si="6"/>
        <v>26.90320523936116</v>
      </c>
      <c r="L55" s="35">
        <f t="shared" si="7"/>
        <v>395.05260024208093</v>
      </c>
      <c r="O55">
        <v>36</v>
      </c>
      <c r="P55" s="9">
        <v>13752.006953925504</v>
      </c>
      <c r="Q55" s="26">
        <v>0.10132689987937274</v>
      </c>
      <c r="S55" s="56">
        <v>24500</v>
      </c>
      <c r="T55" s="55">
        <v>0</v>
      </c>
    </row>
    <row r="56" spans="1:20" x14ac:dyDescent="0.3">
      <c r="A56">
        <v>531</v>
      </c>
      <c r="B56" s="3">
        <v>2.3230111253359453</v>
      </c>
      <c r="C56" s="2">
        <v>52.211004781502709</v>
      </c>
      <c r="D56" s="1">
        <v>1.5462919626361256</v>
      </c>
      <c r="E56" s="9">
        <f t="shared" si="0"/>
        <v>13.052751195375677</v>
      </c>
      <c r="F56" s="3">
        <f t="shared" si="1"/>
        <v>3.0925839252722513E-2</v>
      </c>
      <c r="G56">
        <f t="shared" ca="1" si="2"/>
        <v>1</v>
      </c>
      <c r="H56" s="9">
        <f t="shared" ca="1" si="3"/>
        <v>25</v>
      </c>
      <c r="I56" s="12">
        <f t="shared" si="4"/>
        <v>1</v>
      </c>
      <c r="J56" s="30">
        <f t="shared" ca="1" si="5"/>
        <v>11.947248804624323</v>
      </c>
      <c r="K56" s="45">
        <f t="shared" ca="1" si="6"/>
        <v>5.1430011136500928</v>
      </c>
      <c r="L56" s="35">
        <f t="shared" si="7"/>
        <v>392.72958911674499</v>
      </c>
      <c r="O56">
        <v>37</v>
      </c>
      <c r="P56" s="9">
        <v>14177.006953925504</v>
      </c>
      <c r="Q56" s="26">
        <v>0.10526315789473684</v>
      </c>
      <c r="S56" s="56">
        <v>25000</v>
      </c>
      <c r="T56" s="55">
        <v>0</v>
      </c>
    </row>
    <row r="57" spans="1:20" x14ac:dyDescent="0.3">
      <c r="A57">
        <v>998</v>
      </c>
      <c r="B57" s="3">
        <v>2.2911272481943898</v>
      </c>
      <c r="C57" s="2">
        <v>57.059042490342385</v>
      </c>
      <c r="D57" s="1">
        <v>1.5838474953129333</v>
      </c>
      <c r="E57" s="9">
        <f t="shared" si="0"/>
        <v>14.264760622585596</v>
      </c>
      <c r="F57" s="3">
        <f t="shared" si="1"/>
        <v>3.1676949906258668E-2</v>
      </c>
      <c r="G57">
        <f t="shared" ca="1" si="2"/>
        <v>1</v>
      </c>
      <c r="H57" s="9">
        <f t="shared" ca="1" si="3"/>
        <v>25</v>
      </c>
      <c r="I57" s="12">
        <f t="shared" si="4"/>
        <v>1</v>
      </c>
      <c r="J57" s="30">
        <f t="shared" ca="1" si="5"/>
        <v>10.735239377414404</v>
      </c>
      <c r="K57" s="45">
        <f t="shared" ca="1" si="6"/>
        <v>4.6855709938741805</v>
      </c>
      <c r="L57" s="35">
        <f t="shared" si="7"/>
        <v>390.43846186855058</v>
      </c>
      <c r="O57">
        <v>38</v>
      </c>
      <c r="P57" s="9">
        <v>12927.006953925504</v>
      </c>
      <c r="Q57" s="26">
        <v>0.11949685534591195</v>
      </c>
      <c r="S57" s="56">
        <v>25500</v>
      </c>
      <c r="T57" s="55">
        <v>0</v>
      </c>
    </row>
    <row r="58" spans="1:20" x14ac:dyDescent="0.3">
      <c r="A58">
        <v>814</v>
      </c>
      <c r="B58" s="3">
        <v>3.9148214703914741</v>
      </c>
      <c r="C58" s="2">
        <v>84.90455163960047</v>
      </c>
      <c r="D58" s="1">
        <v>2.5235076043894962</v>
      </c>
      <c r="E58" s="9">
        <f t="shared" si="0"/>
        <v>21.226137909900118</v>
      </c>
      <c r="F58" s="3">
        <f t="shared" si="1"/>
        <v>5.0470152087789925E-2</v>
      </c>
      <c r="G58">
        <f t="shared" ca="1" si="2"/>
        <v>1</v>
      </c>
      <c r="H58" s="9">
        <f t="shared" ca="1" si="3"/>
        <v>25</v>
      </c>
      <c r="I58" s="12">
        <f t="shared" si="4"/>
        <v>1</v>
      </c>
      <c r="J58" s="30">
        <f t="shared" ca="1" si="5"/>
        <v>3.7738620900998825</v>
      </c>
      <c r="K58" s="45">
        <f t="shared" ca="1" si="6"/>
        <v>0.96399340778176124</v>
      </c>
      <c r="L58" s="35">
        <f t="shared" si="7"/>
        <v>386.5236403981591</v>
      </c>
      <c r="O58">
        <v>39</v>
      </c>
      <c r="P58" s="9">
        <v>13702.006953925504</v>
      </c>
      <c r="Q58" s="26">
        <v>0.1045673076923077</v>
      </c>
      <c r="S58" s="56">
        <v>26000</v>
      </c>
      <c r="T58" s="55">
        <v>0</v>
      </c>
    </row>
    <row r="59" spans="1:20" x14ac:dyDescent="0.3">
      <c r="A59">
        <v>1115</v>
      </c>
      <c r="B59" s="3">
        <v>3.531454338686749</v>
      </c>
      <c r="C59" s="2">
        <v>28.833813284378884</v>
      </c>
      <c r="D59" s="1">
        <v>2.4577556619557446</v>
      </c>
      <c r="E59" s="9">
        <f t="shared" si="0"/>
        <v>7.208453321094721</v>
      </c>
      <c r="F59" s="3">
        <f t="shared" si="1"/>
        <v>4.9155113239114895E-2</v>
      </c>
      <c r="G59">
        <f t="shared" ca="1" si="2"/>
        <v>3</v>
      </c>
      <c r="H59" s="9">
        <f t="shared" ca="1" si="3"/>
        <v>75</v>
      </c>
      <c r="I59" s="12">
        <f t="shared" si="4"/>
        <v>1</v>
      </c>
      <c r="J59" s="30">
        <f t="shared" ca="1" si="5"/>
        <v>67.791546678905277</v>
      </c>
      <c r="K59" s="45">
        <f t="shared" ca="1" si="6"/>
        <v>19.196495318162629</v>
      </c>
      <c r="L59" s="35">
        <f t="shared" si="7"/>
        <v>382.99218605947237</v>
      </c>
      <c r="O59">
        <v>40</v>
      </c>
      <c r="P59" s="9">
        <v>13802.006953925504</v>
      </c>
      <c r="Q59" s="26">
        <v>0.10159118727050184</v>
      </c>
      <c r="S59" s="56">
        <v>26500</v>
      </c>
      <c r="T59" s="55">
        <v>0</v>
      </c>
    </row>
    <row r="60" spans="1:20" x14ac:dyDescent="0.3">
      <c r="A60">
        <v>142</v>
      </c>
      <c r="B60" s="3">
        <v>2.4528443145587877</v>
      </c>
      <c r="C60" s="2">
        <v>42.912030107568569</v>
      </c>
      <c r="D60" s="1">
        <v>2.3444717612414445</v>
      </c>
      <c r="E60" s="9">
        <f t="shared" si="0"/>
        <v>10.728007526892142</v>
      </c>
      <c r="F60" s="3">
        <f t="shared" si="1"/>
        <v>4.6889435224828892E-2</v>
      </c>
      <c r="G60">
        <f t="shared" ca="1" si="2"/>
        <v>3</v>
      </c>
      <c r="H60" s="9">
        <f t="shared" ca="1" si="3"/>
        <v>75</v>
      </c>
      <c r="I60" s="12">
        <f t="shared" si="4"/>
        <v>1</v>
      </c>
      <c r="J60" s="30">
        <f t="shared" ca="1" si="5"/>
        <v>64.271992473107858</v>
      </c>
      <c r="K60" s="45">
        <f t="shared" ca="1" si="6"/>
        <v>26.203046027676226</v>
      </c>
      <c r="L60" s="35">
        <f t="shared" si="7"/>
        <v>380.5393417449136</v>
      </c>
      <c r="O60">
        <v>41</v>
      </c>
      <c r="P60" s="9">
        <v>13552.006953925504</v>
      </c>
      <c r="Q60" s="26">
        <v>0.11366384522370013</v>
      </c>
      <c r="S60" s="57"/>
      <c r="T60" s="58">
        <v>0</v>
      </c>
    </row>
    <row r="61" spans="1:20" x14ac:dyDescent="0.3">
      <c r="A61">
        <v>892</v>
      </c>
      <c r="B61" s="3">
        <v>1.982881574739298</v>
      </c>
      <c r="C61" s="2">
        <v>97.881670076894309</v>
      </c>
      <c r="D61" s="1">
        <v>2.2444356060616961</v>
      </c>
      <c r="E61" s="9">
        <f t="shared" si="0"/>
        <v>24.470417519223577</v>
      </c>
      <c r="F61" s="3">
        <f t="shared" si="1"/>
        <v>4.4888712121233923E-2</v>
      </c>
      <c r="G61">
        <f t="shared" ca="1" si="2"/>
        <v>3</v>
      </c>
      <c r="H61" s="9">
        <f t="shared" ca="1" si="3"/>
        <v>75</v>
      </c>
      <c r="I61" s="12">
        <f t="shared" si="4"/>
        <v>1</v>
      </c>
      <c r="J61" s="30">
        <f t="shared" ca="1" si="5"/>
        <v>50.529582480776426</v>
      </c>
      <c r="K61" s="45">
        <f t="shared" ca="1" si="6"/>
        <v>25.482904841364451</v>
      </c>
      <c r="L61" s="35">
        <f t="shared" si="7"/>
        <v>378.55646017017432</v>
      </c>
      <c r="O61">
        <v>42</v>
      </c>
      <c r="P61" s="9">
        <v>13477.006953925504</v>
      </c>
      <c r="Q61" s="26">
        <v>0.1095890410958904</v>
      </c>
    </row>
    <row r="62" spans="1:20" x14ac:dyDescent="0.3">
      <c r="A62">
        <v>58</v>
      </c>
      <c r="B62" s="3">
        <v>4.8808439805120312</v>
      </c>
      <c r="C62" s="2">
        <v>33.17980835960617</v>
      </c>
      <c r="D62" s="1">
        <v>2.6441564439720251</v>
      </c>
      <c r="E62" s="9">
        <f t="shared" si="0"/>
        <v>8.2949520899015425</v>
      </c>
      <c r="F62" s="3">
        <f t="shared" si="1"/>
        <v>5.2883128879440501E-2</v>
      </c>
      <c r="G62">
        <f t="shared" ca="1" si="2"/>
        <v>6</v>
      </c>
      <c r="H62" s="9">
        <f t="shared" ca="1" si="3"/>
        <v>150</v>
      </c>
      <c r="I62" s="12">
        <f t="shared" si="4"/>
        <v>1</v>
      </c>
      <c r="J62" s="30">
        <f t="shared" ca="1" si="5"/>
        <v>141.70504791009847</v>
      </c>
      <c r="K62" s="45">
        <f t="shared" ca="1" si="6"/>
        <v>29.032898506055652</v>
      </c>
      <c r="L62" s="35">
        <f t="shared" si="7"/>
        <v>373.67561618966226</v>
      </c>
      <c r="O62">
        <v>43</v>
      </c>
      <c r="P62" s="9">
        <v>13127.006953925504</v>
      </c>
      <c r="Q62" s="26">
        <v>0.11296534017971759</v>
      </c>
      <c r="S62" s="99" t="s">
        <v>58</v>
      </c>
      <c r="T62" s="100"/>
    </row>
    <row r="63" spans="1:20" x14ac:dyDescent="0.3">
      <c r="A63">
        <v>276</v>
      </c>
      <c r="B63" s="3">
        <v>1.2193151269162017</v>
      </c>
      <c r="C63" s="2">
        <v>83.575479608765036</v>
      </c>
      <c r="D63" s="1">
        <v>1.9661647388510972</v>
      </c>
      <c r="E63" s="9">
        <f t="shared" si="0"/>
        <v>20.893869902191259</v>
      </c>
      <c r="F63" s="3">
        <f t="shared" si="1"/>
        <v>3.9323294777021948E-2</v>
      </c>
      <c r="G63">
        <f t="shared" ca="1" si="2"/>
        <v>3</v>
      </c>
      <c r="H63" s="9">
        <f t="shared" ca="1" si="3"/>
        <v>75</v>
      </c>
      <c r="I63" s="12">
        <f t="shared" si="4"/>
        <v>1</v>
      </c>
      <c r="J63" s="30">
        <f t="shared" ca="1" si="5"/>
        <v>54.106130097808744</v>
      </c>
      <c r="K63" s="45">
        <f t="shared" ca="1" si="6"/>
        <v>44.374197369838114</v>
      </c>
      <c r="L63" s="35">
        <f t="shared" si="7"/>
        <v>372.45630106274604</v>
      </c>
      <c r="O63">
        <v>44</v>
      </c>
      <c r="P63" s="9">
        <v>14502.006953925504</v>
      </c>
      <c r="Q63" s="26">
        <v>0.10922330097087378</v>
      </c>
      <c r="S63" s="61" t="s">
        <v>56</v>
      </c>
      <c r="T63" s="60" t="s">
        <v>57</v>
      </c>
    </row>
    <row r="64" spans="1:20" x14ac:dyDescent="0.3">
      <c r="A64">
        <v>427</v>
      </c>
      <c r="B64" s="3">
        <v>1.6019813705055252</v>
      </c>
      <c r="C64" s="2">
        <v>47.266987872917873</v>
      </c>
      <c r="D64" s="1">
        <v>0.36150181534404291</v>
      </c>
      <c r="E64" s="9">
        <f t="shared" si="0"/>
        <v>11.816746968229468</v>
      </c>
      <c r="F64" s="3">
        <f t="shared" si="1"/>
        <v>7.230036306880858E-3</v>
      </c>
      <c r="G64">
        <f t="shared" ca="1" si="2"/>
        <v>0</v>
      </c>
      <c r="H64" s="9">
        <f t="shared" ca="1" si="3"/>
        <v>0</v>
      </c>
      <c r="I64" s="12">
        <f t="shared" si="4"/>
        <v>1</v>
      </c>
      <c r="J64" s="30">
        <f t="shared" ca="1" si="5"/>
        <v>-11.816746968229468</v>
      </c>
      <c r="K64" s="45">
        <f t="shared" ca="1" si="6"/>
        <v>-7.3763323255753876</v>
      </c>
      <c r="L64" s="35">
        <f t="shared" si="7"/>
        <v>370.85431969224049</v>
      </c>
      <c r="O64">
        <v>45</v>
      </c>
      <c r="P64" s="9">
        <v>13277.006953925504</v>
      </c>
      <c r="Q64" s="26">
        <v>0.1</v>
      </c>
      <c r="S64" s="59">
        <v>0</v>
      </c>
      <c r="T64" s="55" cm="1">
        <f t="array" ref="T64:T79">FREQUENCY(Q20:Q219,S64:S78)</f>
        <v>0</v>
      </c>
    </row>
    <row r="65" spans="1:20" x14ac:dyDescent="0.3">
      <c r="A65">
        <v>406</v>
      </c>
      <c r="B65" s="3">
        <v>4.1751882056325158</v>
      </c>
      <c r="C65" s="2">
        <v>3.9039655754233515</v>
      </c>
      <c r="D65" s="1">
        <v>1.9765862426740932</v>
      </c>
      <c r="E65" s="9">
        <f t="shared" si="0"/>
        <v>0.97599139385583789</v>
      </c>
      <c r="F65" s="3">
        <f t="shared" si="1"/>
        <v>3.9531724853481866E-2</v>
      </c>
      <c r="G65">
        <f t="shared" ca="1" si="2"/>
        <v>0</v>
      </c>
      <c r="H65" s="9">
        <f t="shared" ca="1" si="3"/>
        <v>0</v>
      </c>
      <c r="I65" s="12">
        <f t="shared" si="4"/>
        <v>1</v>
      </c>
      <c r="J65" s="30">
        <f t="shared" ca="1" si="5"/>
        <v>-0.97599139385583789</v>
      </c>
      <c r="K65" s="45">
        <f t="shared" ca="1" si="6"/>
        <v>-0.23375985603216204</v>
      </c>
      <c r="L65" s="35">
        <f t="shared" si="7"/>
        <v>366.67913148660796</v>
      </c>
      <c r="O65">
        <v>46</v>
      </c>
      <c r="P65" s="9">
        <v>13277.006953925504</v>
      </c>
      <c r="Q65" s="26">
        <v>0.11957950065703023</v>
      </c>
      <c r="S65" s="59">
        <v>7.0000000000000007E-2</v>
      </c>
      <c r="T65" s="55">
        <v>0</v>
      </c>
    </row>
    <row r="66" spans="1:20" x14ac:dyDescent="0.3">
      <c r="A66">
        <v>456</v>
      </c>
      <c r="B66" s="3">
        <v>3.5090733514186034</v>
      </c>
      <c r="C66" s="2">
        <v>72.841066068298133</v>
      </c>
      <c r="D66" s="1">
        <v>2.6869532336308892</v>
      </c>
      <c r="E66" s="9">
        <f t="shared" ref="E66:E129" si="8">0.25*C66</f>
        <v>18.210266517074533</v>
      </c>
      <c r="F66" s="3">
        <f t="shared" ref="F66:F129" si="9">(1/50)*D66</f>
        <v>5.3739064672617784E-2</v>
      </c>
      <c r="G66">
        <f t="shared" ref="G66:G129" ca="1" si="10">_xlfn.BINOM.INV(50,F66,RAND())</f>
        <v>3</v>
      </c>
      <c r="H66" s="9">
        <f t="shared" ref="H66:H129" ca="1" si="11">G66*25</f>
        <v>75</v>
      </c>
      <c r="I66" s="12">
        <f t="shared" ref="I66:I129" si="12">IF(L66&gt;0,1,0)</f>
        <v>1</v>
      </c>
      <c r="J66" s="30">
        <f t="shared" ref="J66:J129" ca="1" si="13">H66-E66</f>
        <v>56.78973348292547</v>
      </c>
      <c r="K66" s="45">
        <f t="shared" ref="K66:K129" ca="1" si="14">J66/B66</f>
        <v>16.183683780781397</v>
      </c>
      <c r="L66" s="35">
        <f t="shared" si="7"/>
        <v>363.17005813518938</v>
      </c>
      <c r="O66">
        <v>47</v>
      </c>
      <c r="P66" s="9">
        <v>13527.006953925504</v>
      </c>
      <c r="Q66" s="26">
        <v>0.11610486891385768</v>
      </c>
      <c r="S66" s="59">
        <v>0.08</v>
      </c>
      <c r="T66" s="55">
        <v>1</v>
      </c>
    </row>
    <row r="67" spans="1:20" x14ac:dyDescent="0.3">
      <c r="A67">
        <v>648</v>
      </c>
      <c r="B67" s="3">
        <v>2.6131679459326316</v>
      </c>
      <c r="C67" s="2">
        <v>57.86929089629249</v>
      </c>
      <c r="D67" s="1">
        <v>2.3722991685548656</v>
      </c>
      <c r="E67" s="9">
        <f t="shared" si="8"/>
        <v>14.467322724073123</v>
      </c>
      <c r="F67" s="3">
        <f t="shared" si="9"/>
        <v>4.744598337109731E-2</v>
      </c>
      <c r="G67">
        <f t="shared" ca="1" si="10"/>
        <v>0</v>
      </c>
      <c r="H67" s="9">
        <f t="shared" ca="1" si="11"/>
        <v>0</v>
      </c>
      <c r="I67" s="12">
        <f t="shared" si="12"/>
        <v>1</v>
      </c>
      <c r="J67" s="30">
        <f t="shared" ca="1" si="13"/>
        <v>-14.467322724073123</v>
      </c>
      <c r="K67" s="45">
        <f t="shared" ca="1" si="14"/>
        <v>-5.5363156993377931</v>
      </c>
      <c r="L67" s="35">
        <f t="shared" si="7"/>
        <v>360.55689018925676</v>
      </c>
      <c r="O67">
        <v>48</v>
      </c>
      <c r="P67" s="9">
        <v>12327.006953925504</v>
      </c>
      <c r="Q67" s="26">
        <v>0.12137203166226913</v>
      </c>
      <c r="S67" s="59">
        <v>0.09</v>
      </c>
      <c r="T67" s="55">
        <v>9</v>
      </c>
    </row>
    <row r="68" spans="1:20" x14ac:dyDescent="0.3">
      <c r="A68">
        <v>257</v>
      </c>
      <c r="B68" s="3">
        <v>3.6199716072181056</v>
      </c>
      <c r="C68" s="2">
        <v>67.560878456891089</v>
      </c>
      <c r="D68" s="1">
        <v>2.3726925345005347</v>
      </c>
      <c r="E68" s="9">
        <f t="shared" si="8"/>
        <v>16.890219614222772</v>
      </c>
      <c r="F68" s="3">
        <f t="shared" si="9"/>
        <v>4.7453850690010693E-2</v>
      </c>
      <c r="G68">
        <f t="shared" ca="1" si="10"/>
        <v>1</v>
      </c>
      <c r="H68" s="9">
        <f t="shared" ca="1" si="11"/>
        <v>25</v>
      </c>
      <c r="I68" s="12">
        <f t="shared" si="12"/>
        <v>1</v>
      </c>
      <c r="J68" s="30">
        <f t="shared" ca="1" si="13"/>
        <v>8.1097803857772277</v>
      </c>
      <c r="K68" s="45">
        <f t="shared" ca="1" si="14"/>
        <v>2.2402883960765299</v>
      </c>
      <c r="L68" s="35">
        <f t="shared" ref="L68:L131" si="15">L67-B68</f>
        <v>356.93691858203863</v>
      </c>
      <c r="O68">
        <v>49</v>
      </c>
      <c r="P68" s="9">
        <v>12702.006953925504</v>
      </c>
      <c r="Q68" s="26">
        <v>0.12046632124352331</v>
      </c>
      <c r="S68" s="59">
        <v>0.1</v>
      </c>
      <c r="T68" s="55">
        <v>30</v>
      </c>
    </row>
    <row r="69" spans="1:20" x14ac:dyDescent="0.3">
      <c r="A69">
        <v>615</v>
      </c>
      <c r="B69" s="3">
        <v>2.874076141842826</v>
      </c>
      <c r="C69" s="2">
        <v>36.801063606443776</v>
      </c>
      <c r="D69" s="1">
        <v>1.7435294005756401</v>
      </c>
      <c r="E69" s="9">
        <f t="shared" si="8"/>
        <v>9.200265901610944</v>
      </c>
      <c r="F69" s="3">
        <f t="shared" si="9"/>
        <v>3.4870588011512806E-2</v>
      </c>
      <c r="G69">
        <f t="shared" ca="1" si="10"/>
        <v>1</v>
      </c>
      <c r="H69" s="9">
        <f t="shared" ca="1" si="11"/>
        <v>25</v>
      </c>
      <c r="I69" s="12">
        <f t="shared" si="12"/>
        <v>1</v>
      </c>
      <c r="J69" s="30">
        <f t="shared" ca="1" si="13"/>
        <v>15.799734098389056</v>
      </c>
      <c r="K69" s="45">
        <f t="shared" ca="1" si="14"/>
        <v>5.4973262080170358</v>
      </c>
      <c r="L69" s="35">
        <f t="shared" si="15"/>
        <v>354.06284244019582</v>
      </c>
      <c r="O69">
        <v>50</v>
      </c>
      <c r="P69" s="9">
        <v>13202.006953925504</v>
      </c>
      <c r="Q69" s="26">
        <v>0.11363636363636363</v>
      </c>
      <c r="S69" s="59">
        <v>0.11</v>
      </c>
      <c r="T69" s="55">
        <v>79</v>
      </c>
    </row>
    <row r="70" spans="1:20" x14ac:dyDescent="0.3">
      <c r="A70">
        <v>1015</v>
      </c>
      <c r="B70" s="3">
        <v>6.5411651133804725</v>
      </c>
      <c r="C70" s="2">
        <v>2.3460787476847988</v>
      </c>
      <c r="D70" s="1">
        <v>2.0027434938355491</v>
      </c>
      <c r="E70" s="9">
        <f t="shared" si="8"/>
        <v>0.58651968692119971</v>
      </c>
      <c r="F70" s="3">
        <f t="shared" si="9"/>
        <v>4.0054869876710981E-2</v>
      </c>
      <c r="G70">
        <f t="shared" ca="1" si="10"/>
        <v>2</v>
      </c>
      <c r="H70" s="9">
        <f t="shared" ca="1" si="11"/>
        <v>50</v>
      </c>
      <c r="I70" s="12">
        <f t="shared" si="12"/>
        <v>1</v>
      </c>
      <c r="J70" s="30">
        <f t="shared" ca="1" si="13"/>
        <v>49.4134803130788</v>
      </c>
      <c r="K70" s="45">
        <f t="shared" ca="1" si="14"/>
        <v>7.5542322287507471</v>
      </c>
      <c r="L70" s="35">
        <f t="shared" si="15"/>
        <v>347.52167732681534</v>
      </c>
      <c r="O70">
        <v>51</v>
      </c>
      <c r="P70" s="9">
        <v>13302.006953925504</v>
      </c>
      <c r="Q70" s="26">
        <v>0.11651728553137004</v>
      </c>
      <c r="S70" s="59">
        <v>0.12</v>
      </c>
      <c r="T70" s="55">
        <v>57</v>
      </c>
    </row>
    <row r="71" spans="1:20" x14ac:dyDescent="0.3">
      <c r="A71">
        <v>712</v>
      </c>
      <c r="B71" s="3">
        <v>2.8413064697717907</v>
      </c>
      <c r="C71" s="2">
        <v>41.017372640113578</v>
      </c>
      <c r="D71" s="1">
        <v>0.98403739444487459</v>
      </c>
      <c r="E71" s="9">
        <f t="shared" si="8"/>
        <v>10.254343160028395</v>
      </c>
      <c r="F71" s="3">
        <f t="shared" si="9"/>
        <v>1.9680747888897492E-2</v>
      </c>
      <c r="G71">
        <f t="shared" ca="1" si="10"/>
        <v>3</v>
      </c>
      <c r="H71" s="9">
        <f t="shared" ca="1" si="11"/>
        <v>75</v>
      </c>
      <c r="I71" s="12">
        <f t="shared" si="12"/>
        <v>1</v>
      </c>
      <c r="J71" s="30">
        <f t="shared" ca="1" si="13"/>
        <v>64.745656839971602</v>
      </c>
      <c r="K71" s="45">
        <f t="shared" ca="1" si="14"/>
        <v>22.787283782580438</v>
      </c>
      <c r="L71" s="35">
        <f t="shared" si="15"/>
        <v>344.68037085704356</v>
      </c>
      <c r="O71">
        <v>52</v>
      </c>
      <c r="P71" s="9">
        <v>13527.006953925504</v>
      </c>
      <c r="Q71" s="26">
        <v>8.9024390243902435E-2</v>
      </c>
      <c r="S71" s="59">
        <v>0.13</v>
      </c>
      <c r="T71" s="55">
        <v>24</v>
      </c>
    </row>
    <row r="72" spans="1:20" x14ac:dyDescent="0.3">
      <c r="A72">
        <v>283</v>
      </c>
      <c r="B72" s="3">
        <v>3.8448475510169153</v>
      </c>
      <c r="C72" s="2">
        <v>54.919506925554998</v>
      </c>
      <c r="D72" s="1">
        <v>2.9561943070105556</v>
      </c>
      <c r="E72" s="9">
        <f t="shared" si="8"/>
        <v>13.72987673138875</v>
      </c>
      <c r="F72" s="3">
        <f t="shared" si="9"/>
        <v>5.9123886140211114E-2</v>
      </c>
      <c r="G72">
        <f t="shared" ca="1" si="10"/>
        <v>2</v>
      </c>
      <c r="H72" s="9">
        <f t="shared" ca="1" si="11"/>
        <v>50</v>
      </c>
      <c r="I72" s="12">
        <f t="shared" si="12"/>
        <v>1</v>
      </c>
      <c r="J72" s="30">
        <f t="shared" ca="1" si="13"/>
        <v>36.27012326861125</v>
      </c>
      <c r="K72" s="45">
        <f t="shared" ca="1" si="14"/>
        <v>9.4334359912445027</v>
      </c>
      <c r="L72" s="35">
        <f t="shared" si="15"/>
        <v>340.83552330602663</v>
      </c>
      <c r="O72">
        <v>53</v>
      </c>
      <c r="P72" s="9">
        <v>13227.006953925504</v>
      </c>
      <c r="Q72" s="26">
        <v>0.1011378002528445</v>
      </c>
      <c r="S72" s="59">
        <v>0.14000000000000001</v>
      </c>
      <c r="T72" s="55">
        <v>0</v>
      </c>
    </row>
    <row r="73" spans="1:20" x14ac:dyDescent="0.3">
      <c r="A73">
        <v>1082</v>
      </c>
      <c r="B73" s="3">
        <v>1.729068767856885</v>
      </c>
      <c r="C73" s="2">
        <v>45.420018851408585</v>
      </c>
      <c r="D73" s="1">
        <v>1.809564467471497</v>
      </c>
      <c r="E73" s="9">
        <f t="shared" si="8"/>
        <v>11.355004712852146</v>
      </c>
      <c r="F73" s="3">
        <f t="shared" si="9"/>
        <v>3.6191289349429938E-2</v>
      </c>
      <c r="G73">
        <f t="shared" ca="1" si="10"/>
        <v>0</v>
      </c>
      <c r="H73" s="9">
        <f t="shared" ca="1" si="11"/>
        <v>0</v>
      </c>
      <c r="I73" s="12">
        <f t="shared" si="12"/>
        <v>1</v>
      </c>
      <c r="J73" s="30">
        <f t="shared" ca="1" si="13"/>
        <v>-11.355004712852146</v>
      </c>
      <c r="K73" s="45">
        <f t="shared" ca="1" si="14"/>
        <v>-6.5671215187850756</v>
      </c>
      <c r="L73" s="35">
        <f t="shared" si="15"/>
        <v>339.10645453816977</v>
      </c>
      <c r="O73">
        <v>54</v>
      </c>
      <c r="P73" s="9">
        <v>13502.006953925504</v>
      </c>
      <c r="Q73" s="26">
        <v>0.11042183622828784</v>
      </c>
      <c r="S73" s="59">
        <v>0.15</v>
      </c>
      <c r="T73" s="55">
        <v>0</v>
      </c>
    </row>
    <row r="74" spans="1:20" x14ac:dyDescent="0.3">
      <c r="A74">
        <v>321</v>
      </c>
      <c r="B74" s="3">
        <v>4.4899206563214591</v>
      </c>
      <c r="C74" s="2">
        <v>3.5935791005926143</v>
      </c>
      <c r="D74" s="1">
        <v>1.7482527587274992</v>
      </c>
      <c r="E74" s="9">
        <f t="shared" si="8"/>
        <v>0.89839477514815358</v>
      </c>
      <c r="F74" s="3">
        <f t="shared" si="9"/>
        <v>3.4965055174549987E-2</v>
      </c>
      <c r="G74">
        <f t="shared" ca="1" si="10"/>
        <v>0</v>
      </c>
      <c r="H74" s="9">
        <f t="shared" ca="1" si="11"/>
        <v>0</v>
      </c>
      <c r="I74" s="12">
        <f t="shared" si="12"/>
        <v>1</v>
      </c>
      <c r="J74" s="30">
        <f t="shared" ca="1" si="13"/>
        <v>-0.89839477514815358</v>
      </c>
      <c r="K74" s="45">
        <f t="shared" ca="1" si="14"/>
        <v>-0.20009145905134951</v>
      </c>
      <c r="L74" s="35">
        <f t="shared" si="15"/>
        <v>334.61653388184834</v>
      </c>
      <c r="O74">
        <v>55</v>
      </c>
      <c r="P74" s="9">
        <v>13252.006953925504</v>
      </c>
      <c r="Q74" s="26">
        <v>0.11727616645649433</v>
      </c>
      <c r="S74" s="59">
        <v>0.16</v>
      </c>
      <c r="T74" s="55">
        <v>0</v>
      </c>
    </row>
    <row r="75" spans="1:20" x14ac:dyDescent="0.3">
      <c r="A75">
        <v>832</v>
      </c>
      <c r="B75" s="3">
        <v>2.5123292766081216</v>
      </c>
      <c r="C75" s="2">
        <v>79.466066822644891</v>
      </c>
      <c r="D75" s="1">
        <v>2.5387498378529934</v>
      </c>
      <c r="E75" s="9">
        <f t="shared" si="8"/>
        <v>19.866516705661223</v>
      </c>
      <c r="F75" s="3">
        <f t="shared" si="9"/>
        <v>5.0774996757059869E-2</v>
      </c>
      <c r="G75">
        <f t="shared" ca="1" si="10"/>
        <v>3</v>
      </c>
      <c r="H75" s="9">
        <f t="shared" ca="1" si="11"/>
        <v>75</v>
      </c>
      <c r="I75" s="12">
        <f t="shared" si="12"/>
        <v>1</v>
      </c>
      <c r="J75" s="30">
        <f t="shared" ca="1" si="13"/>
        <v>55.133483294338774</v>
      </c>
      <c r="K75" s="45">
        <f t="shared" ca="1" si="14"/>
        <v>21.945166108470506</v>
      </c>
      <c r="L75" s="35">
        <f t="shared" si="15"/>
        <v>332.10420460524023</v>
      </c>
      <c r="O75">
        <v>56</v>
      </c>
      <c r="P75" s="9">
        <v>13527.006953925504</v>
      </c>
      <c r="Q75" s="26">
        <v>0.10416666666666667</v>
      </c>
      <c r="S75" s="59">
        <v>0.17</v>
      </c>
      <c r="T75" s="55">
        <v>0</v>
      </c>
    </row>
    <row r="76" spans="1:20" x14ac:dyDescent="0.3">
      <c r="A76">
        <v>792</v>
      </c>
      <c r="B76" s="3">
        <v>1.9455501288699617</v>
      </c>
      <c r="C76" s="2">
        <v>30.118933426433959</v>
      </c>
      <c r="D76" s="1">
        <v>0.82733077020566925</v>
      </c>
      <c r="E76" s="9">
        <f t="shared" si="8"/>
        <v>7.5297333566084896</v>
      </c>
      <c r="F76" s="3">
        <f t="shared" si="9"/>
        <v>1.6546615404113386E-2</v>
      </c>
      <c r="G76">
        <f t="shared" ca="1" si="10"/>
        <v>1</v>
      </c>
      <c r="H76" s="9">
        <f t="shared" ca="1" si="11"/>
        <v>25</v>
      </c>
      <c r="I76" s="12">
        <f t="shared" si="12"/>
        <v>1</v>
      </c>
      <c r="J76" s="30">
        <f t="shared" ca="1" si="13"/>
        <v>17.470266643391511</v>
      </c>
      <c r="K76" s="45">
        <f t="shared" ca="1" si="14"/>
        <v>8.9796024189511918</v>
      </c>
      <c r="L76" s="35">
        <f t="shared" si="15"/>
        <v>330.15865447637026</v>
      </c>
      <c r="O76">
        <v>57</v>
      </c>
      <c r="P76" s="9">
        <v>13602.006953925504</v>
      </c>
      <c r="Q76" s="26">
        <v>9.3632958801498134E-2</v>
      </c>
      <c r="S76" s="59">
        <v>0.18</v>
      </c>
      <c r="T76" s="55">
        <v>0</v>
      </c>
    </row>
    <row r="77" spans="1:20" x14ac:dyDescent="0.3">
      <c r="A77">
        <v>1056</v>
      </c>
      <c r="B77" s="3">
        <v>1.7749600690362932</v>
      </c>
      <c r="C77" s="2">
        <v>45.96262805801441</v>
      </c>
      <c r="D77" s="1">
        <v>2.8894063146829323</v>
      </c>
      <c r="E77" s="9">
        <f t="shared" si="8"/>
        <v>11.490657014503602</v>
      </c>
      <c r="F77" s="3">
        <f t="shared" si="9"/>
        <v>5.7788126293658648E-2</v>
      </c>
      <c r="G77">
        <f t="shared" ca="1" si="10"/>
        <v>3</v>
      </c>
      <c r="H77" s="9">
        <f t="shared" ca="1" si="11"/>
        <v>75</v>
      </c>
      <c r="I77" s="12">
        <f t="shared" si="12"/>
        <v>1</v>
      </c>
      <c r="J77" s="30">
        <f t="shared" ca="1" si="13"/>
        <v>63.509342985496396</v>
      </c>
      <c r="K77" s="45">
        <f t="shared" ca="1" si="14"/>
        <v>35.780716475485846</v>
      </c>
      <c r="L77" s="35">
        <f t="shared" si="15"/>
        <v>328.38369440733396</v>
      </c>
      <c r="O77">
        <v>58</v>
      </c>
      <c r="P77" s="9">
        <v>12802.006953925504</v>
      </c>
      <c r="Q77" s="26">
        <v>0.12729658792650919</v>
      </c>
      <c r="S77" s="59">
        <v>0.19</v>
      </c>
      <c r="T77" s="55">
        <v>0</v>
      </c>
    </row>
    <row r="78" spans="1:20" x14ac:dyDescent="0.3">
      <c r="A78">
        <v>844</v>
      </c>
      <c r="B78" s="3">
        <v>9.6367160636279543</v>
      </c>
      <c r="C78" s="2">
        <v>72.496155008194023</v>
      </c>
      <c r="D78" s="1">
        <v>3.0380340398579562</v>
      </c>
      <c r="E78" s="9">
        <f t="shared" si="8"/>
        <v>18.124038752048506</v>
      </c>
      <c r="F78" s="3">
        <f t="shared" si="9"/>
        <v>6.0760680797159128E-2</v>
      </c>
      <c r="G78">
        <f t="shared" ca="1" si="10"/>
        <v>3</v>
      </c>
      <c r="H78" s="9">
        <f t="shared" ca="1" si="11"/>
        <v>75</v>
      </c>
      <c r="I78" s="12">
        <f t="shared" si="12"/>
        <v>1</v>
      </c>
      <c r="J78" s="30">
        <f t="shared" ca="1" si="13"/>
        <v>56.875961247951494</v>
      </c>
      <c r="K78" s="45">
        <f t="shared" ca="1" si="14"/>
        <v>5.9020065416910583</v>
      </c>
      <c r="L78" s="35">
        <f t="shared" si="15"/>
        <v>318.74697834370602</v>
      </c>
      <c r="O78">
        <v>59</v>
      </c>
      <c r="P78" s="9">
        <v>13702.006953925504</v>
      </c>
      <c r="Q78" s="26">
        <v>0.10847880299251871</v>
      </c>
      <c r="S78" s="59">
        <v>0.2</v>
      </c>
      <c r="T78" s="55">
        <v>0</v>
      </c>
    </row>
    <row r="79" spans="1:20" x14ac:dyDescent="0.3">
      <c r="A79">
        <v>417</v>
      </c>
      <c r="B79" s="3">
        <v>2.5451494406359032</v>
      </c>
      <c r="C79" s="2">
        <v>82.205010121632455</v>
      </c>
      <c r="D79" s="1">
        <v>1.360162703625075</v>
      </c>
      <c r="E79" s="9">
        <f t="shared" si="8"/>
        <v>20.551252530408114</v>
      </c>
      <c r="F79" s="3">
        <f t="shared" si="9"/>
        <v>2.7203254072501501E-2</v>
      </c>
      <c r="G79">
        <f t="shared" ca="1" si="10"/>
        <v>2</v>
      </c>
      <c r="H79" s="9">
        <f t="shared" ca="1" si="11"/>
        <v>50</v>
      </c>
      <c r="I79" s="12">
        <f t="shared" si="12"/>
        <v>1</v>
      </c>
      <c r="J79" s="30">
        <f t="shared" ca="1" si="13"/>
        <v>29.448747469591886</v>
      </c>
      <c r="K79" s="45">
        <f t="shared" ca="1" si="14"/>
        <v>11.57053766643822</v>
      </c>
      <c r="L79" s="35">
        <f t="shared" si="15"/>
        <v>316.20182890307012</v>
      </c>
      <c r="O79">
        <v>60</v>
      </c>
      <c r="P79" s="9">
        <v>13352.006953925504</v>
      </c>
      <c r="Q79" s="26">
        <v>0.1150990099009901</v>
      </c>
      <c r="S79" s="57"/>
      <c r="T79" s="58">
        <v>0</v>
      </c>
    </row>
    <row r="80" spans="1:20" x14ac:dyDescent="0.3">
      <c r="A80">
        <v>974</v>
      </c>
      <c r="B80" s="3">
        <v>2.6042552090840445</v>
      </c>
      <c r="C80" s="2">
        <v>77.92819183853787</v>
      </c>
      <c r="D80" s="1">
        <v>1.2883663378130155</v>
      </c>
      <c r="E80" s="9">
        <f t="shared" si="8"/>
        <v>19.482047959634468</v>
      </c>
      <c r="F80" s="3">
        <f t="shared" si="9"/>
        <v>2.5767326756260311E-2</v>
      </c>
      <c r="G80">
        <f t="shared" ca="1" si="10"/>
        <v>0</v>
      </c>
      <c r="H80" s="9">
        <f t="shared" ca="1" si="11"/>
        <v>0</v>
      </c>
      <c r="I80" s="12">
        <f t="shared" si="12"/>
        <v>1</v>
      </c>
      <c r="J80" s="30">
        <f t="shared" ca="1" si="13"/>
        <v>-19.482047959634468</v>
      </c>
      <c r="K80" s="45">
        <f t="shared" ca="1" si="14"/>
        <v>-7.4808520653728845</v>
      </c>
      <c r="L80" s="35">
        <f t="shared" si="15"/>
        <v>313.59757369398608</v>
      </c>
      <c r="O80">
        <v>61</v>
      </c>
      <c r="P80" s="9">
        <v>12802.006953925504</v>
      </c>
      <c r="Q80" s="26">
        <v>0.12516297262059975</v>
      </c>
    </row>
    <row r="81" spans="1:17" x14ac:dyDescent="0.3">
      <c r="A81">
        <v>961</v>
      </c>
      <c r="B81" s="3">
        <v>5.2424359195975869</v>
      </c>
      <c r="C81" s="2">
        <v>57.867540466228284</v>
      </c>
      <c r="D81" s="1">
        <v>2.7860540142845083</v>
      </c>
      <c r="E81" s="9">
        <f t="shared" si="8"/>
        <v>14.466885116557071</v>
      </c>
      <c r="F81" s="3">
        <f t="shared" si="9"/>
        <v>5.5721080285690165E-2</v>
      </c>
      <c r="G81">
        <f t="shared" ca="1" si="10"/>
        <v>2</v>
      </c>
      <c r="H81" s="9">
        <f t="shared" ca="1" si="11"/>
        <v>50</v>
      </c>
      <c r="I81" s="12">
        <f t="shared" si="12"/>
        <v>1</v>
      </c>
      <c r="J81" s="30">
        <f t="shared" ca="1" si="13"/>
        <v>35.533114883442927</v>
      </c>
      <c r="K81" s="45">
        <f t="shared" ca="1" si="14"/>
        <v>6.7779779149251809</v>
      </c>
      <c r="L81" s="35">
        <f t="shared" si="15"/>
        <v>308.35513777438848</v>
      </c>
      <c r="O81">
        <v>62</v>
      </c>
      <c r="P81" s="9">
        <v>13227.006953925504</v>
      </c>
      <c r="Q81" s="26">
        <v>0.12156862745098039</v>
      </c>
    </row>
    <row r="82" spans="1:17" x14ac:dyDescent="0.3">
      <c r="A82">
        <v>957</v>
      </c>
      <c r="B82" s="3">
        <v>3.1890439134701043</v>
      </c>
      <c r="C82" s="2">
        <v>37.842107101503764</v>
      </c>
      <c r="D82" s="1">
        <v>1.6538148494871492</v>
      </c>
      <c r="E82" s="9">
        <f t="shared" si="8"/>
        <v>9.460526775375941</v>
      </c>
      <c r="F82" s="3">
        <f t="shared" si="9"/>
        <v>3.3076296989742987E-2</v>
      </c>
      <c r="G82">
        <f t="shared" ca="1" si="10"/>
        <v>2</v>
      </c>
      <c r="H82" s="9">
        <f t="shared" ca="1" si="11"/>
        <v>50</v>
      </c>
      <c r="I82" s="12">
        <f t="shared" si="12"/>
        <v>1</v>
      </c>
      <c r="J82" s="30">
        <f t="shared" ca="1" si="13"/>
        <v>40.539473224624061</v>
      </c>
      <c r="K82" s="45">
        <f t="shared" ca="1" si="14"/>
        <v>12.712108808972692</v>
      </c>
      <c r="L82" s="35">
        <f t="shared" si="15"/>
        <v>305.16609386091835</v>
      </c>
      <c r="O82">
        <v>63</v>
      </c>
      <c r="P82" s="9">
        <v>13527.006953925504</v>
      </c>
      <c r="Q82" s="26">
        <v>8.7740384615384609E-2</v>
      </c>
    </row>
    <row r="83" spans="1:17" x14ac:dyDescent="0.3">
      <c r="A83">
        <v>536</v>
      </c>
      <c r="B83" s="3">
        <v>3.2945405279487461</v>
      </c>
      <c r="C83" s="2">
        <v>29.646627677663162</v>
      </c>
      <c r="D83" s="1">
        <v>2.4709256706022753</v>
      </c>
      <c r="E83" s="9">
        <f t="shared" si="8"/>
        <v>7.4116569194157904</v>
      </c>
      <c r="F83" s="3">
        <f t="shared" si="9"/>
        <v>4.9418513412045506E-2</v>
      </c>
      <c r="G83">
        <f t="shared" ca="1" si="10"/>
        <v>2</v>
      </c>
      <c r="H83" s="9">
        <f t="shared" ca="1" si="11"/>
        <v>50</v>
      </c>
      <c r="I83" s="12">
        <f t="shared" si="12"/>
        <v>1</v>
      </c>
      <c r="J83" s="30">
        <f t="shared" ca="1" si="13"/>
        <v>42.58834308058421</v>
      </c>
      <c r="K83" s="45">
        <f t="shared" ca="1" si="14"/>
        <v>12.926944658683757</v>
      </c>
      <c r="L83" s="35">
        <f t="shared" si="15"/>
        <v>301.8715533329696</v>
      </c>
      <c r="O83">
        <v>64</v>
      </c>
      <c r="P83" s="9">
        <v>13727.006953925504</v>
      </c>
      <c r="Q83" s="26">
        <v>0.10858585858585859</v>
      </c>
    </row>
    <row r="84" spans="1:17" x14ac:dyDescent="0.3">
      <c r="A84">
        <v>92</v>
      </c>
      <c r="B84" s="3">
        <v>0.75595603376617082</v>
      </c>
      <c r="C84" s="2">
        <v>38.336260342986961</v>
      </c>
      <c r="D84" s="1">
        <v>0.52640525996837217</v>
      </c>
      <c r="E84" s="9">
        <f t="shared" si="8"/>
        <v>9.5840650857467402</v>
      </c>
      <c r="F84" s="3">
        <f t="shared" si="9"/>
        <v>1.0528105199367444E-2</v>
      </c>
      <c r="G84">
        <f t="shared" ca="1" si="10"/>
        <v>0</v>
      </c>
      <c r="H84" s="9">
        <f t="shared" ca="1" si="11"/>
        <v>0</v>
      </c>
      <c r="I84" s="12">
        <f t="shared" si="12"/>
        <v>1</v>
      </c>
      <c r="J84" s="30">
        <f t="shared" ca="1" si="13"/>
        <v>-9.5840650857467402</v>
      </c>
      <c r="K84" s="45">
        <f t="shared" ca="1" si="14"/>
        <v>-12.678072080460758</v>
      </c>
      <c r="L84" s="35">
        <f t="shared" si="15"/>
        <v>301.11559729920344</v>
      </c>
      <c r="O84">
        <v>65</v>
      </c>
      <c r="P84" s="9">
        <v>13777.006953925504</v>
      </c>
      <c r="Q84" s="26">
        <v>0.10431654676258993</v>
      </c>
    </row>
    <row r="85" spans="1:17" x14ac:dyDescent="0.3">
      <c r="A85">
        <v>279</v>
      </c>
      <c r="B85" s="3">
        <v>3.0704284029135276</v>
      </c>
      <c r="C85" s="2">
        <v>53.771960856377831</v>
      </c>
      <c r="D85" s="1">
        <v>1.3058211502928894</v>
      </c>
      <c r="E85" s="9">
        <f t="shared" si="8"/>
        <v>13.442990214094458</v>
      </c>
      <c r="F85" s="3">
        <f t="shared" si="9"/>
        <v>2.6116423005857786E-2</v>
      </c>
      <c r="G85">
        <f t="shared" ca="1" si="10"/>
        <v>1</v>
      </c>
      <c r="H85" s="9">
        <f t="shared" ca="1" si="11"/>
        <v>25</v>
      </c>
      <c r="I85" s="12">
        <f t="shared" si="12"/>
        <v>1</v>
      </c>
      <c r="J85" s="30">
        <f t="shared" ca="1" si="13"/>
        <v>11.557009785905542</v>
      </c>
      <c r="K85" s="45">
        <f t="shared" ca="1" si="14"/>
        <v>3.7639730582674074</v>
      </c>
      <c r="L85" s="35">
        <f t="shared" si="15"/>
        <v>298.04516889628991</v>
      </c>
      <c r="O85">
        <v>66</v>
      </c>
      <c r="P85" s="9">
        <v>12852.006953925504</v>
      </c>
      <c r="Q85" s="26">
        <v>0.12276214833759591</v>
      </c>
    </row>
    <row r="86" spans="1:17" x14ac:dyDescent="0.3">
      <c r="A86">
        <v>270</v>
      </c>
      <c r="B86" s="3">
        <v>2.6440297825127281</v>
      </c>
      <c r="C86" s="2">
        <v>89.003019126070697</v>
      </c>
      <c r="D86" s="1">
        <v>2.5154628142861974</v>
      </c>
      <c r="E86" s="9">
        <f t="shared" si="8"/>
        <v>22.250754781517674</v>
      </c>
      <c r="F86" s="3">
        <f t="shared" si="9"/>
        <v>5.0309256285723948E-2</v>
      </c>
      <c r="G86">
        <f t="shared" ca="1" si="10"/>
        <v>5</v>
      </c>
      <c r="H86" s="9">
        <f t="shared" ca="1" si="11"/>
        <v>125</v>
      </c>
      <c r="I86" s="12">
        <f t="shared" si="12"/>
        <v>1</v>
      </c>
      <c r="J86" s="30">
        <f t="shared" ca="1" si="13"/>
        <v>102.74924521848233</v>
      </c>
      <c r="K86" s="45">
        <f t="shared" ca="1" si="14"/>
        <v>38.86085016819878</v>
      </c>
      <c r="L86" s="35">
        <f t="shared" si="15"/>
        <v>295.40113911377716</v>
      </c>
      <c r="O86">
        <v>67</v>
      </c>
      <c r="P86" s="9">
        <v>13527.006953925504</v>
      </c>
      <c r="Q86" s="26">
        <v>9.8321342925659472E-2</v>
      </c>
    </row>
    <row r="87" spans="1:17" x14ac:dyDescent="0.3">
      <c r="A87">
        <v>794</v>
      </c>
      <c r="B87" s="3">
        <v>2.9754537887153854</v>
      </c>
      <c r="C87" s="2">
        <v>65.072464336999531</v>
      </c>
      <c r="D87" s="1">
        <v>2.6135312750305504</v>
      </c>
      <c r="E87" s="9">
        <f t="shared" si="8"/>
        <v>16.268116084249883</v>
      </c>
      <c r="F87" s="3">
        <f t="shared" si="9"/>
        <v>5.2270625500611012E-2</v>
      </c>
      <c r="G87">
        <f t="shared" ca="1" si="10"/>
        <v>3</v>
      </c>
      <c r="H87" s="9">
        <f t="shared" ca="1" si="11"/>
        <v>75</v>
      </c>
      <c r="I87" s="12">
        <f t="shared" si="12"/>
        <v>1</v>
      </c>
      <c r="J87" s="30">
        <f t="shared" ca="1" si="13"/>
        <v>58.731883915750117</v>
      </c>
      <c r="K87" s="45">
        <f t="shared" ca="1" si="14"/>
        <v>19.738798881197503</v>
      </c>
      <c r="L87" s="35">
        <f t="shared" si="15"/>
        <v>292.42568532506175</v>
      </c>
      <c r="O87">
        <v>68</v>
      </c>
      <c r="P87" s="9">
        <v>13177.006953925504</v>
      </c>
      <c r="Q87" s="26">
        <v>0.1088348271446863</v>
      </c>
    </row>
    <row r="88" spans="1:17" x14ac:dyDescent="0.3">
      <c r="A88">
        <v>728</v>
      </c>
      <c r="B88" s="3">
        <v>2.307131021340326</v>
      </c>
      <c r="C88" s="2">
        <v>18.141896910723109</v>
      </c>
      <c r="D88" s="1">
        <v>2.7165007260328471</v>
      </c>
      <c r="E88" s="9">
        <f t="shared" si="8"/>
        <v>4.5354742276807771</v>
      </c>
      <c r="F88" s="3">
        <f t="shared" si="9"/>
        <v>5.4330014520656944E-2</v>
      </c>
      <c r="G88">
        <f t="shared" ca="1" si="10"/>
        <v>3</v>
      </c>
      <c r="H88" s="9">
        <f t="shared" ca="1" si="11"/>
        <v>75</v>
      </c>
      <c r="I88" s="12">
        <f t="shared" si="12"/>
        <v>1</v>
      </c>
      <c r="J88" s="30">
        <f t="shared" ca="1" si="13"/>
        <v>70.46452577231922</v>
      </c>
      <c r="K88" s="45">
        <f t="shared" ca="1" si="14"/>
        <v>30.542056398419415</v>
      </c>
      <c r="L88" s="35">
        <f t="shared" si="15"/>
        <v>290.1185543037214</v>
      </c>
      <c r="O88">
        <v>69</v>
      </c>
      <c r="P88" s="9">
        <v>13102.006953925504</v>
      </c>
      <c r="Q88" s="26">
        <v>0.11467324290998766</v>
      </c>
    </row>
    <row r="89" spans="1:17" x14ac:dyDescent="0.3">
      <c r="A89">
        <v>64</v>
      </c>
      <c r="B89" s="3">
        <v>3.0412679026231624</v>
      </c>
      <c r="C89" s="2">
        <v>61.328839361780872</v>
      </c>
      <c r="D89" s="1">
        <v>1.9703106371475858</v>
      </c>
      <c r="E89" s="9">
        <f t="shared" si="8"/>
        <v>15.332209840445218</v>
      </c>
      <c r="F89" s="3">
        <f t="shared" si="9"/>
        <v>3.9406212742951717E-2</v>
      </c>
      <c r="G89">
        <f t="shared" ca="1" si="10"/>
        <v>4</v>
      </c>
      <c r="H89" s="9">
        <f t="shared" ca="1" si="11"/>
        <v>100</v>
      </c>
      <c r="I89" s="12">
        <f t="shared" si="12"/>
        <v>1</v>
      </c>
      <c r="J89" s="30">
        <f t="shared" ca="1" si="13"/>
        <v>84.667790159554784</v>
      </c>
      <c r="K89" s="45">
        <f t="shared" ca="1" si="14"/>
        <v>27.839635596235009</v>
      </c>
      <c r="L89" s="35">
        <f t="shared" si="15"/>
        <v>287.07728640109821</v>
      </c>
      <c r="O89">
        <v>70</v>
      </c>
      <c r="P89" s="9">
        <v>13552.006953925504</v>
      </c>
      <c r="Q89" s="26">
        <v>0.10957178841309824</v>
      </c>
    </row>
    <row r="90" spans="1:17" x14ac:dyDescent="0.3">
      <c r="A90">
        <v>98</v>
      </c>
      <c r="B90" s="3">
        <v>5.6878046898335022</v>
      </c>
      <c r="C90" s="2">
        <v>56.415873882006686</v>
      </c>
      <c r="D90" s="1">
        <v>2.9911102390913347</v>
      </c>
      <c r="E90" s="9">
        <f t="shared" si="8"/>
        <v>14.103968470501671</v>
      </c>
      <c r="F90" s="3">
        <f t="shared" si="9"/>
        <v>5.9822204781826697E-2</v>
      </c>
      <c r="G90">
        <f t="shared" ca="1" si="10"/>
        <v>2</v>
      </c>
      <c r="H90" s="9">
        <f t="shared" ca="1" si="11"/>
        <v>50</v>
      </c>
      <c r="I90" s="12">
        <f t="shared" si="12"/>
        <v>1</v>
      </c>
      <c r="J90" s="30">
        <f t="shared" ca="1" si="13"/>
        <v>35.89603152949833</v>
      </c>
      <c r="K90" s="45">
        <f t="shared" ca="1" si="14"/>
        <v>6.31105206436846</v>
      </c>
      <c r="L90" s="35">
        <f t="shared" si="15"/>
        <v>281.38948171126469</v>
      </c>
      <c r="O90">
        <v>71</v>
      </c>
      <c r="P90" s="9">
        <v>12977.006953925504</v>
      </c>
      <c r="Q90" s="26">
        <v>0.10087173100871731</v>
      </c>
    </row>
    <row r="91" spans="1:17" x14ac:dyDescent="0.3">
      <c r="A91">
        <v>413</v>
      </c>
      <c r="B91" s="3">
        <v>2.0456453937408234</v>
      </c>
      <c r="C91" s="2">
        <v>42.783899241779054</v>
      </c>
      <c r="D91" s="1">
        <v>1.3577955705248188</v>
      </c>
      <c r="E91" s="9">
        <f t="shared" si="8"/>
        <v>10.695974810444763</v>
      </c>
      <c r="F91" s="3">
        <f t="shared" si="9"/>
        <v>2.7155911410496378E-2</v>
      </c>
      <c r="G91">
        <f t="shared" ca="1" si="10"/>
        <v>2</v>
      </c>
      <c r="H91" s="9">
        <f t="shared" ca="1" si="11"/>
        <v>50</v>
      </c>
      <c r="I91" s="12">
        <f t="shared" si="12"/>
        <v>1</v>
      </c>
      <c r="J91" s="30">
        <f t="shared" ca="1" si="13"/>
        <v>39.304025189555233</v>
      </c>
      <c r="K91" s="45">
        <f t="shared" ca="1" si="14"/>
        <v>19.213508514142273</v>
      </c>
      <c r="L91" s="35">
        <f t="shared" si="15"/>
        <v>279.34383631752388</v>
      </c>
      <c r="O91">
        <v>72</v>
      </c>
      <c r="P91" s="9">
        <v>13352.006953925504</v>
      </c>
      <c r="Q91" s="26">
        <v>0.11152416356877323</v>
      </c>
    </row>
    <row r="92" spans="1:17" x14ac:dyDescent="0.3">
      <c r="A92">
        <v>751</v>
      </c>
      <c r="B92" s="3">
        <v>2.9625074568140408</v>
      </c>
      <c r="C92" s="2">
        <v>73.380798690737606</v>
      </c>
      <c r="D92" s="1">
        <v>2.6874392284978219</v>
      </c>
      <c r="E92" s="9">
        <f t="shared" si="8"/>
        <v>18.345199672684402</v>
      </c>
      <c r="F92" s="3">
        <f t="shared" si="9"/>
        <v>5.3748784569956437E-2</v>
      </c>
      <c r="G92">
        <f t="shared" ca="1" si="10"/>
        <v>2</v>
      </c>
      <c r="H92" s="9">
        <f t="shared" ca="1" si="11"/>
        <v>50</v>
      </c>
      <c r="I92" s="12">
        <f t="shared" si="12"/>
        <v>1</v>
      </c>
      <c r="J92" s="30">
        <f t="shared" ca="1" si="13"/>
        <v>31.654800327315598</v>
      </c>
      <c r="K92" s="45">
        <f t="shared" ca="1" si="14"/>
        <v>10.685137772229613</v>
      </c>
      <c r="L92" s="35">
        <f t="shared" si="15"/>
        <v>276.38132886070986</v>
      </c>
      <c r="O92">
        <v>73</v>
      </c>
      <c r="P92" s="9">
        <v>12877.006953925504</v>
      </c>
      <c r="Q92" s="26">
        <v>0.10817610062893082</v>
      </c>
    </row>
    <row r="93" spans="1:17" x14ac:dyDescent="0.3">
      <c r="A93">
        <v>946</v>
      </c>
      <c r="B93" s="3">
        <v>2.2513313292517956</v>
      </c>
      <c r="C93" s="2">
        <v>28.3383698145228</v>
      </c>
      <c r="D93" s="1">
        <v>1.2815812709127499</v>
      </c>
      <c r="E93" s="9">
        <f t="shared" si="8"/>
        <v>7.0845924536306999</v>
      </c>
      <c r="F93" s="3">
        <f t="shared" si="9"/>
        <v>2.5631625418254998E-2</v>
      </c>
      <c r="G93">
        <f t="shared" ca="1" si="10"/>
        <v>2</v>
      </c>
      <c r="H93" s="9">
        <f t="shared" ca="1" si="11"/>
        <v>50</v>
      </c>
      <c r="I93" s="12">
        <f t="shared" si="12"/>
        <v>1</v>
      </c>
      <c r="J93" s="30">
        <f t="shared" ca="1" si="13"/>
        <v>42.915407546369302</v>
      </c>
      <c r="K93" s="45">
        <f t="shared" ca="1" si="14"/>
        <v>19.062235304401753</v>
      </c>
      <c r="L93" s="35">
        <f t="shared" si="15"/>
        <v>274.12999753145806</v>
      </c>
      <c r="O93">
        <v>74</v>
      </c>
      <c r="P93" s="9">
        <v>13352.006953925504</v>
      </c>
      <c r="Q93" s="26">
        <v>0.12148337595907928</v>
      </c>
    </row>
    <row r="94" spans="1:17" x14ac:dyDescent="0.3">
      <c r="A94">
        <v>253</v>
      </c>
      <c r="B94" s="3">
        <v>4.7482068305568248</v>
      </c>
      <c r="C94" s="2">
        <v>38.27867830252584</v>
      </c>
      <c r="D94" s="1">
        <v>3.1426435446117109</v>
      </c>
      <c r="E94" s="9">
        <f t="shared" si="8"/>
        <v>9.56966957563146</v>
      </c>
      <c r="F94" s="3">
        <f t="shared" si="9"/>
        <v>6.2852870892234222E-2</v>
      </c>
      <c r="G94">
        <f t="shared" ca="1" si="10"/>
        <v>5</v>
      </c>
      <c r="H94" s="9">
        <f t="shared" ca="1" si="11"/>
        <v>125</v>
      </c>
      <c r="I94" s="12">
        <f t="shared" si="12"/>
        <v>1</v>
      </c>
      <c r="J94" s="30">
        <f t="shared" ca="1" si="13"/>
        <v>115.43033042436853</v>
      </c>
      <c r="K94" s="45">
        <f t="shared" ca="1" si="14"/>
        <v>24.310299560146152</v>
      </c>
      <c r="L94" s="35">
        <f t="shared" si="15"/>
        <v>269.38179070090121</v>
      </c>
      <c r="O94">
        <v>75</v>
      </c>
      <c r="P94" s="9">
        <v>13277.006953925504</v>
      </c>
      <c r="Q94" s="26">
        <v>0.10869565217391304</v>
      </c>
    </row>
    <row r="95" spans="1:17" x14ac:dyDescent="0.3">
      <c r="A95">
        <v>882</v>
      </c>
      <c r="B95" s="3">
        <v>6.0707386033012263</v>
      </c>
      <c r="C95" s="2">
        <v>38.093707532288313</v>
      </c>
      <c r="D95" s="1">
        <v>2.8351833885780655</v>
      </c>
      <c r="E95" s="9">
        <f t="shared" si="8"/>
        <v>9.5234268830720783</v>
      </c>
      <c r="F95" s="3">
        <f t="shared" si="9"/>
        <v>5.6703667771561314E-2</v>
      </c>
      <c r="G95">
        <f t="shared" ca="1" si="10"/>
        <v>1</v>
      </c>
      <c r="H95" s="9">
        <f t="shared" ca="1" si="11"/>
        <v>25</v>
      </c>
      <c r="I95" s="12">
        <f t="shared" si="12"/>
        <v>1</v>
      </c>
      <c r="J95" s="30">
        <f t="shared" ca="1" si="13"/>
        <v>15.476573116927922</v>
      </c>
      <c r="K95" s="45">
        <f t="shared" ca="1" si="14"/>
        <v>2.5493723463092062</v>
      </c>
      <c r="L95" s="35">
        <f t="shared" si="15"/>
        <v>263.3110520976</v>
      </c>
      <c r="O95">
        <v>76</v>
      </c>
      <c r="P95" s="9">
        <v>13327.006953925504</v>
      </c>
      <c r="Q95" s="26">
        <v>0.10392902408111533</v>
      </c>
    </row>
    <row r="96" spans="1:17" x14ac:dyDescent="0.3">
      <c r="A96">
        <v>228</v>
      </c>
      <c r="B96" s="3">
        <v>1.6179579069834471</v>
      </c>
      <c r="C96" s="2">
        <v>77.846081258095083</v>
      </c>
      <c r="D96" s="1">
        <v>1.5757920840740667</v>
      </c>
      <c r="E96" s="9">
        <f t="shared" si="8"/>
        <v>19.461520314523771</v>
      </c>
      <c r="F96" s="3">
        <f t="shared" si="9"/>
        <v>3.1515841681481332E-2</v>
      </c>
      <c r="G96">
        <f t="shared" ca="1" si="10"/>
        <v>2</v>
      </c>
      <c r="H96" s="9">
        <f t="shared" ca="1" si="11"/>
        <v>50</v>
      </c>
      <c r="I96" s="12">
        <f t="shared" si="12"/>
        <v>1</v>
      </c>
      <c r="J96" s="30">
        <f t="shared" ca="1" si="13"/>
        <v>30.538479685476229</v>
      </c>
      <c r="K96" s="45">
        <f t="shared" ca="1" si="14"/>
        <v>18.874705920139032</v>
      </c>
      <c r="L96" s="35">
        <f t="shared" si="15"/>
        <v>261.69309419061653</v>
      </c>
      <c r="O96">
        <v>77</v>
      </c>
      <c r="P96" s="9">
        <v>12652.006953925504</v>
      </c>
      <c r="Q96" s="26">
        <v>0.11609498680738786</v>
      </c>
    </row>
    <row r="97" spans="1:17" x14ac:dyDescent="0.3">
      <c r="A97">
        <v>543</v>
      </c>
      <c r="B97" s="3">
        <v>2.6990095804642378</v>
      </c>
      <c r="C97" s="2">
        <v>96.478619023202157</v>
      </c>
      <c r="D97" s="1">
        <v>2.7633519420603814</v>
      </c>
      <c r="E97" s="9">
        <f t="shared" si="8"/>
        <v>24.119654755800539</v>
      </c>
      <c r="F97" s="3">
        <f t="shared" si="9"/>
        <v>5.5267038841207629E-2</v>
      </c>
      <c r="G97">
        <f t="shared" ca="1" si="10"/>
        <v>2</v>
      </c>
      <c r="H97" s="9">
        <f t="shared" ca="1" si="11"/>
        <v>50</v>
      </c>
      <c r="I97" s="12">
        <f t="shared" si="12"/>
        <v>1</v>
      </c>
      <c r="J97" s="30">
        <f t="shared" ca="1" si="13"/>
        <v>25.880345244199461</v>
      </c>
      <c r="K97" s="45">
        <f t="shared" ca="1" si="14"/>
        <v>9.5888304478518975</v>
      </c>
      <c r="L97" s="35">
        <f t="shared" si="15"/>
        <v>258.9940846101523</v>
      </c>
      <c r="O97">
        <v>78</v>
      </c>
      <c r="P97" s="9">
        <v>12727.006953925504</v>
      </c>
      <c r="Q97" s="26">
        <v>0.11994784876140809</v>
      </c>
    </row>
    <row r="98" spans="1:17" x14ac:dyDescent="0.3">
      <c r="A98">
        <v>221</v>
      </c>
      <c r="B98" s="3">
        <v>2.491868862856804</v>
      </c>
      <c r="C98" s="2">
        <v>16.146752125945817</v>
      </c>
      <c r="D98" s="1">
        <v>0.9871001480698447</v>
      </c>
      <c r="E98" s="9">
        <f t="shared" si="8"/>
        <v>4.0366880314864542</v>
      </c>
      <c r="F98" s="3">
        <f t="shared" si="9"/>
        <v>1.9742002961396894E-2</v>
      </c>
      <c r="G98">
        <f t="shared" ca="1" si="10"/>
        <v>2</v>
      </c>
      <c r="H98" s="9">
        <f t="shared" ca="1" si="11"/>
        <v>50</v>
      </c>
      <c r="I98" s="12">
        <f t="shared" si="12"/>
        <v>1</v>
      </c>
      <c r="J98" s="30">
        <f t="shared" ca="1" si="13"/>
        <v>45.963311968513544</v>
      </c>
      <c r="K98" s="45">
        <f t="shared" ca="1" si="14"/>
        <v>18.445317349412555</v>
      </c>
      <c r="L98" s="35">
        <f t="shared" si="15"/>
        <v>256.50221574729551</v>
      </c>
      <c r="O98">
        <v>79</v>
      </c>
      <c r="P98" s="9">
        <v>14102.006953925504</v>
      </c>
      <c r="Q98" s="26">
        <v>9.4272076372315036E-2</v>
      </c>
    </row>
    <row r="99" spans="1:17" x14ac:dyDescent="0.3">
      <c r="A99">
        <v>877</v>
      </c>
      <c r="B99" s="3">
        <v>1.9237352009658093</v>
      </c>
      <c r="C99" s="2">
        <v>58.167592001499656</v>
      </c>
      <c r="D99" s="1">
        <v>2.4807927777424479</v>
      </c>
      <c r="E99" s="9">
        <f t="shared" si="8"/>
        <v>14.541898000374914</v>
      </c>
      <c r="F99" s="3">
        <f t="shared" si="9"/>
        <v>4.9615855554848959E-2</v>
      </c>
      <c r="G99">
        <f t="shared" ca="1" si="10"/>
        <v>2</v>
      </c>
      <c r="H99" s="9">
        <f t="shared" ca="1" si="11"/>
        <v>50</v>
      </c>
      <c r="I99" s="12">
        <f t="shared" si="12"/>
        <v>1</v>
      </c>
      <c r="J99" s="30">
        <f t="shared" ca="1" si="13"/>
        <v>35.458101999625086</v>
      </c>
      <c r="K99" s="45">
        <f t="shared" ca="1" si="14"/>
        <v>18.431903716178496</v>
      </c>
      <c r="L99" s="35">
        <f t="shared" si="15"/>
        <v>254.5784805463297</v>
      </c>
      <c r="O99">
        <v>80</v>
      </c>
      <c r="P99" s="9">
        <v>13802.006953925504</v>
      </c>
      <c r="Q99" s="26">
        <v>0.10807453416149068</v>
      </c>
    </row>
    <row r="100" spans="1:17" x14ac:dyDescent="0.3">
      <c r="A100">
        <v>320</v>
      </c>
      <c r="B100" s="3">
        <v>2.830000131724538</v>
      </c>
      <c r="C100" s="2">
        <v>91.605800730371527</v>
      </c>
      <c r="D100" s="1">
        <v>1.1594194856160032</v>
      </c>
      <c r="E100" s="9">
        <f t="shared" si="8"/>
        <v>22.901450182592882</v>
      </c>
      <c r="F100" s="3">
        <f t="shared" si="9"/>
        <v>2.3188389712320064E-2</v>
      </c>
      <c r="G100">
        <f t="shared" ca="1" si="10"/>
        <v>1</v>
      </c>
      <c r="H100" s="9">
        <f t="shared" ca="1" si="11"/>
        <v>25</v>
      </c>
      <c r="I100" s="12">
        <f t="shared" si="12"/>
        <v>1</v>
      </c>
      <c r="J100" s="30">
        <f t="shared" ca="1" si="13"/>
        <v>2.0985498174071182</v>
      </c>
      <c r="K100" s="45">
        <f t="shared" ca="1" si="14"/>
        <v>0.74153700343763218</v>
      </c>
      <c r="L100" s="35">
        <f t="shared" si="15"/>
        <v>251.74848041460515</v>
      </c>
      <c r="O100">
        <v>81</v>
      </c>
      <c r="P100" s="9">
        <v>13427.006953925504</v>
      </c>
      <c r="Q100" s="26">
        <v>9.1898428053204348E-2</v>
      </c>
    </row>
    <row r="101" spans="1:17" x14ac:dyDescent="0.3">
      <c r="A101">
        <v>464</v>
      </c>
      <c r="B101" s="3">
        <v>6.7669690467274481</v>
      </c>
      <c r="C101" s="2">
        <v>2.9920748749063808</v>
      </c>
      <c r="D101" s="1">
        <v>2.5447374597202428</v>
      </c>
      <c r="E101" s="9">
        <f t="shared" si="8"/>
        <v>0.7480187187265952</v>
      </c>
      <c r="F101" s="3">
        <f t="shared" si="9"/>
        <v>5.0894749194404856E-2</v>
      </c>
      <c r="G101">
        <f t="shared" ca="1" si="10"/>
        <v>0</v>
      </c>
      <c r="H101" s="9">
        <f t="shared" ca="1" si="11"/>
        <v>0</v>
      </c>
      <c r="I101" s="12">
        <f t="shared" si="12"/>
        <v>1</v>
      </c>
      <c r="J101" s="30">
        <f t="shared" ca="1" si="13"/>
        <v>-0.7480187187265952</v>
      </c>
      <c r="K101" s="45">
        <f t="shared" ca="1" si="14"/>
        <v>-0.1105396985801704</v>
      </c>
      <c r="L101" s="35">
        <f t="shared" si="15"/>
        <v>244.98151136787772</v>
      </c>
      <c r="O101">
        <v>82</v>
      </c>
      <c r="P101" s="9">
        <v>13577.006953925504</v>
      </c>
      <c r="Q101" s="26">
        <v>0.10945273631840796</v>
      </c>
    </row>
    <row r="102" spans="1:17" x14ac:dyDescent="0.3">
      <c r="A102">
        <v>170</v>
      </c>
      <c r="B102" s="3">
        <v>1.3460155598940049</v>
      </c>
      <c r="C102" s="2">
        <v>1.3651895512938883</v>
      </c>
      <c r="D102" s="1">
        <v>1.2833586602896205</v>
      </c>
      <c r="E102" s="9">
        <f t="shared" si="8"/>
        <v>0.34129738782347208</v>
      </c>
      <c r="F102" s="3">
        <f t="shared" si="9"/>
        <v>2.5667173205792412E-2</v>
      </c>
      <c r="G102">
        <f t="shared" ca="1" si="10"/>
        <v>3</v>
      </c>
      <c r="H102" s="9">
        <f t="shared" ca="1" si="11"/>
        <v>75</v>
      </c>
      <c r="I102" s="12">
        <f t="shared" si="12"/>
        <v>1</v>
      </c>
      <c r="J102" s="30">
        <f t="shared" ca="1" si="13"/>
        <v>74.658702612176526</v>
      </c>
      <c r="K102" s="45">
        <f t="shared" ca="1" si="14"/>
        <v>55.466448410192001</v>
      </c>
      <c r="L102" s="35">
        <f t="shared" si="15"/>
        <v>243.63549580798372</v>
      </c>
      <c r="O102">
        <v>83</v>
      </c>
      <c r="P102" s="9">
        <v>13127.006953925504</v>
      </c>
      <c r="Q102" s="26">
        <v>0.12121212121212122</v>
      </c>
    </row>
    <row r="103" spans="1:17" x14ac:dyDescent="0.3">
      <c r="A103">
        <v>8</v>
      </c>
      <c r="B103" s="3">
        <v>7.0719385776231567</v>
      </c>
      <c r="C103" s="2">
        <v>83.945042282436248</v>
      </c>
      <c r="D103" s="1">
        <v>3.1756792969318344</v>
      </c>
      <c r="E103" s="9">
        <f t="shared" si="8"/>
        <v>20.986260570609062</v>
      </c>
      <c r="F103" s="3">
        <f t="shared" si="9"/>
        <v>6.3513585938636694E-2</v>
      </c>
      <c r="G103">
        <f t="shared" ca="1" si="10"/>
        <v>3</v>
      </c>
      <c r="H103" s="9">
        <f t="shared" ca="1" si="11"/>
        <v>75</v>
      </c>
      <c r="I103" s="12">
        <f t="shared" si="12"/>
        <v>1</v>
      </c>
      <c r="J103" s="30">
        <f t="shared" ca="1" si="13"/>
        <v>54.013739429390938</v>
      </c>
      <c r="K103" s="45">
        <f t="shared" ca="1" si="14"/>
        <v>7.6377557350822869</v>
      </c>
      <c r="L103" s="35">
        <f t="shared" si="15"/>
        <v>236.56355723036057</v>
      </c>
      <c r="O103">
        <v>84</v>
      </c>
      <c r="P103" s="9">
        <v>13702.006953925504</v>
      </c>
      <c r="Q103" s="26">
        <v>0.10674846625766871</v>
      </c>
    </row>
    <row r="104" spans="1:17" x14ac:dyDescent="0.3">
      <c r="A104">
        <v>287</v>
      </c>
      <c r="B104" s="3">
        <v>3.6535349616576598</v>
      </c>
      <c r="C104" s="2">
        <v>34.621778427304996</v>
      </c>
      <c r="D104" s="1">
        <v>2.5292631646589934</v>
      </c>
      <c r="E104" s="9">
        <f t="shared" si="8"/>
        <v>8.6554446068262489</v>
      </c>
      <c r="F104" s="3">
        <f t="shared" si="9"/>
        <v>5.0585263293179868E-2</v>
      </c>
      <c r="G104">
        <f t="shared" ca="1" si="10"/>
        <v>2</v>
      </c>
      <c r="H104" s="9">
        <f t="shared" ca="1" si="11"/>
        <v>50</v>
      </c>
      <c r="I104" s="12">
        <f t="shared" si="12"/>
        <v>1</v>
      </c>
      <c r="J104" s="30">
        <f t="shared" ca="1" si="13"/>
        <v>41.344555393173749</v>
      </c>
      <c r="K104" s="45">
        <f t="shared" ca="1" si="14"/>
        <v>11.31631579472149</v>
      </c>
      <c r="L104" s="35">
        <f t="shared" si="15"/>
        <v>232.9100222687029</v>
      </c>
      <c r="O104">
        <v>85</v>
      </c>
      <c r="P104" s="9">
        <v>12927.006953925504</v>
      </c>
      <c r="Q104" s="26">
        <v>0.10831234256926953</v>
      </c>
    </row>
    <row r="105" spans="1:17" x14ac:dyDescent="0.3">
      <c r="A105">
        <v>187</v>
      </c>
      <c r="B105" s="3">
        <v>8.1962620505895138</v>
      </c>
      <c r="C105" s="2">
        <v>5.8336115764625163</v>
      </c>
      <c r="D105" s="1">
        <v>3.0270735070860235</v>
      </c>
      <c r="E105" s="9">
        <f t="shared" si="8"/>
        <v>1.4584028941156291</v>
      </c>
      <c r="F105" s="3">
        <f t="shared" si="9"/>
        <v>6.0541470141720469E-2</v>
      </c>
      <c r="G105">
        <f t="shared" ca="1" si="10"/>
        <v>2</v>
      </c>
      <c r="H105" s="9">
        <f t="shared" ca="1" si="11"/>
        <v>50</v>
      </c>
      <c r="I105" s="12">
        <f t="shared" si="12"/>
        <v>1</v>
      </c>
      <c r="J105" s="30">
        <f t="shared" ca="1" si="13"/>
        <v>48.541597105884371</v>
      </c>
      <c r="K105" s="45">
        <f t="shared" ca="1" si="14"/>
        <v>5.9224066783458964</v>
      </c>
      <c r="L105" s="35">
        <f t="shared" si="15"/>
        <v>224.71376021811338</v>
      </c>
      <c r="O105">
        <v>86</v>
      </c>
      <c r="P105" s="9">
        <v>14252.006953925504</v>
      </c>
      <c r="Q105" s="26">
        <v>9.4847775175644022E-2</v>
      </c>
    </row>
    <row r="106" spans="1:17" x14ac:dyDescent="0.3">
      <c r="A106">
        <v>1022</v>
      </c>
      <c r="B106" s="3">
        <v>0.72125501653300006</v>
      </c>
      <c r="C106" s="2">
        <v>48.109380688112488</v>
      </c>
      <c r="D106" s="1">
        <v>0.39693354871659109</v>
      </c>
      <c r="E106" s="9">
        <f t="shared" si="8"/>
        <v>12.027345172028122</v>
      </c>
      <c r="F106" s="3">
        <f t="shared" si="9"/>
        <v>7.9386709743318219E-3</v>
      </c>
      <c r="G106">
        <f t="shared" ca="1" si="10"/>
        <v>0</v>
      </c>
      <c r="H106" s="9">
        <f t="shared" ca="1" si="11"/>
        <v>0</v>
      </c>
      <c r="I106" s="12">
        <f t="shared" si="12"/>
        <v>1</v>
      </c>
      <c r="J106" s="30">
        <f t="shared" ca="1" si="13"/>
        <v>-12.027345172028122</v>
      </c>
      <c r="K106" s="45">
        <f t="shared" ca="1" si="14"/>
        <v>-16.675579228332239</v>
      </c>
      <c r="L106" s="35">
        <f t="shared" si="15"/>
        <v>223.99250520158037</v>
      </c>
      <c r="O106">
        <v>87</v>
      </c>
      <c r="P106" s="9">
        <v>14302.006953925504</v>
      </c>
      <c r="Q106" s="26">
        <v>0.10253317249698432</v>
      </c>
    </row>
    <row r="107" spans="1:17" x14ac:dyDescent="0.3">
      <c r="A107">
        <v>921</v>
      </c>
      <c r="B107" s="3">
        <v>2.5440431296332422</v>
      </c>
      <c r="C107" s="2">
        <v>19.436563618590508</v>
      </c>
      <c r="D107" s="1">
        <v>1.3441814364283244</v>
      </c>
      <c r="E107" s="9">
        <f t="shared" si="8"/>
        <v>4.859140904647627</v>
      </c>
      <c r="F107" s="3">
        <f t="shared" si="9"/>
        <v>2.6883628728566488E-2</v>
      </c>
      <c r="G107">
        <f t="shared" ca="1" si="10"/>
        <v>0</v>
      </c>
      <c r="H107" s="9">
        <f t="shared" ca="1" si="11"/>
        <v>0</v>
      </c>
      <c r="I107" s="12">
        <f t="shared" si="12"/>
        <v>1</v>
      </c>
      <c r="J107" s="30">
        <f t="shared" ca="1" si="13"/>
        <v>-4.859140904647627</v>
      </c>
      <c r="K107" s="45">
        <f t="shared" ca="1" si="14"/>
        <v>-1.9100072825212429</v>
      </c>
      <c r="L107" s="35">
        <f t="shared" si="15"/>
        <v>221.44846207194712</v>
      </c>
      <c r="O107">
        <v>88</v>
      </c>
      <c r="P107" s="9">
        <v>14102.006953925504</v>
      </c>
      <c r="Q107" s="26">
        <v>9.101654846335698E-2</v>
      </c>
    </row>
    <row r="108" spans="1:17" x14ac:dyDescent="0.3">
      <c r="A108">
        <v>532</v>
      </c>
      <c r="B108" s="3">
        <v>5.7312977182662452</v>
      </c>
      <c r="C108" s="2">
        <v>96.913462579320978</v>
      </c>
      <c r="D108" s="1">
        <v>3.0287408735314862</v>
      </c>
      <c r="E108" s="9">
        <f t="shared" si="8"/>
        <v>24.228365644830244</v>
      </c>
      <c r="F108" s="3">
        <f t="shared" si="9"/>
        <v>6.0574817470629726E-2</v>
      </c>
      <c r="G108">
        <f t="shared" ca="1" si="10"/>
        <v>4</v>
      </c>
      <c r="H108" s="9">
        <f t="shared" ca="1" si="11"/>
        <v>100</v>
      </c>
      <c r="I108" s="12">
        <f t="shared" si="12"/>
        <v>1</v>
      </c>
      <c r="J108" s="30">
        <f t="shared" ca="1" si="13"/>
        <v>75.771634355169752</v>
      </c>
      <c r="K108" s="45">
        <f t="shared" ca="1" si="14"/>
        <v>13.220676726263518</v>
      </c>
      <c r="L108" s="35">
        <f t="shared" si="15"/>
        <v>215.71716435368089</v>
      </c>
      <c r="O108">
        <v>89</v>
      </c>
      <c r="P108" s="9">
        <v>13202.006953925504</v>
      </c>
      <c r="Q108" s="26">
        <v>0.11264080100125157</v>
      </c>
    </row>
    <row r="109" spans="1:17" x14ac:dyDescent="0.3">
      <c r="A109">
        <v>658</v>
      </c>
      <c r="B109" s="3">
        <v>2.334506453224753</v>
      </c>
      <c r="C109" s="2">
        <v>39.237940108571877</v>
      </c>
      <c r="D109" s="1">
        <v>1.3135538257736477</v>
      </c>
      <c r="E109" s="9">
        <f t="shared" si="8"/>
        <v>9.8094850271429692</v>
      </c>
      <c r="F109" s="3">
        <f t="shared" si="9"/>
        <v>2.6271076515472953E-2</v>
      </c>
      <c r="G109">
        <f t="shared" ca="1" si="10"/>
        <v>0</v>
      </c>
      <c r="H109" s="9">
        <f t="shared" ca="1" si="11"/>
        <v>0</v>
      </c>
      <c r="I109" s="12">
        <f t="shared" si="12"/>
        <v>1</v>
      </c>
      <c r="J109" s="30">
        <f t="shared" ca="1" si="13"/>
        <v>-9.8094850271429692</v>
      </c>
      <c r="K109" s="45">
        <f t="shared" ca="1" si="14"/>
        <v>-4.2019524142213056</v>
      </c>
      <c r="L109" s="35">
        <f t="shared" si="15"/>
        <v>213.38265790045614</v>
      </c>
      <c r="O109">
        <v>90</v>
      </c>
      <c r="P109" s="9">
        <v>12902.006953925504</v>
      </c>
      <c r="Q109" s="26">
        <v>0.11296534017971759</v>
      </c>
    </row>
    <row r="110" spans="1:17" x14ac:dyDescent="0.3">
      <c r="A110">
        <v>388</v>
      </c>
      <c r="B110" s="3">
        <v>2.2519792294119734</v>
      </c>
      <c r="C110" s="2">
        <v>45.332883004994272</v>
      </c>
      <c r="D110" s="1">
        <v>2.4021873487472218</v>
      </c>
      <c r="E110" s="9">
        <f t="shared" si="8"/>
        <v>11.333220751248568</v>
      </c>
      <c r="F110" s="3">
        <f t="shared" si="9"/>
        <v>4.8043746974944436E-2</v>
      </c>
      <c r="G110">
        <f t="shared" ca="1" si="10"/>
        <v>0</v>
      </c>
      <c r="H110" s="9">
        <f t="shared" ca="1" si="11"/>
        <v>0</v>
      </c>
      <c r="I110" s="12">
        <f t="shared" si="12"/>
        <v>1</v>
      </c>
      <c r="J110" s="30">
        <f t="shared" ca="1" si="13"/>
        <v>-11.333220751248568</v>
      </c>
      <c r="K110" s="45">
        <f t="shared" ca="1" si="14"/>
        <v>-5.0325600712613356</v>
      </c>
      <c r="L110" s="35">
        <f t="shared" si="15"/>
        <v>211.13067867104417</v>
      </c>
      <c r="O110">
        <v>91</v>
      </c>
      <c r="P110" s="9">
        <v>13327.006953925504</v>
      </c>
      <c r="Q110" s="26">
        <v>8.9790897908979095E-2</v>
      </c>
    </row>
    <row r="111" spans="1:17" x14ac:dyDescent="0.3">
      <c r="A111">
        <v>299</v>
      </c>
      <c r="B111" s="3">
        <v>4.99539812661091</v>
      </c>
      <c r="C111" s="2">
        <v>57.372636435802491</v>
      </c>
      <c r="D111" s="1">
        <v>3.0186446048768207</v>
      </c>
      <c r="E111" s="9">
        <f t="shared" si="8"/>
        <v>14.343159108950623</v>
      </c>
      <c r="F111" s="3">
        <f t="shared" si="9"/>
        <v>6.0372892097536414E-2</v>
      </c>
      <c r="G111">
        <f t="shared" ca="1" si="10"/>
        <v>4</v>
      </c>
      <c r="H111" s="9">
        <f t="shared" ca="1" si="11"/>
        <v>100</v>
      </c>
      <c r="I111" s="12">
        <f t="shared" si="12"/>
        <v>1</v>
      </c>
      <c r="J111" s="30">
        <f t="shared" ca="1" si="13"/>
        <v>85.65684089104937</v>
      </c>
      <c r="K111" s="45">
        <f t="shared" ca="1" si="14"/>
        <v>17.147149980848994</v>
      </c>
      <c r="L111" s="35">
        <f t="shared" si="15"/>
        <v>206.13528054443324</v>
      </c>
      <c r="O111">
        <v>92</v>
      </c>
      <c r="P111" s="9">
        <v>13852.006953925504</v>
      </c>
      <c r="Q111" s="26">
        <v>0.11363636363636363</v>
      </c>
    </row>
    <row r="112" spans="1:17" x14ac:dyDescent="0.3">
      <c r="A112">
        <v>1094</v>
      </c>
      <c r="B112" s="3">
        <v>3.441588237306096</v>
      </c>
      <c r="C112" s="2">
        <v>66.340574915676257</v>
      </c>
      <c r="D112" s="1">
        <v>2.4948461086784777</v>
      </c>
      <c r="E112" s="9">
        <f t="shared" si="8"/>
        <v>16.585143728919064</v>
      </c>
      <c r="F112" s="3">
        <f t="shared" si="9"/>
        <v>4.9896922173569558E-2</v>
      </c>
      <c r="G112">
        <f t="shared" ca="1" si="10"/>
        <v>3</v>
      </c>
      <c r="H112" s="9">
        <f t="shared" ca="1" si="11"/>
        <v>75</v>
      </c>
      <c r="I112" s="12">
        <f t="shared" si="12"/>
        <v>1</v>
      </c>
      <c r="J112" s="30">
        <f t="shared" ca="1" si="13"/>
        <v>58.414856271080936</v>
      </c>
      <c r="K112" s="45">
        <f t="shared" ca="1" si="14"/>
        <v>16.973226383643496</v>
      </c>
      <c r="L112" s="35">
        <f t="shared" si="15"/>
        <v>202.69369230712715</v>
      </c>
      <c r="O112">
        <v>93</v>
      </c>
      <c r="P112" s="9">
        <v>13527.006953925504</v>
      </c>
      <c r="Q112" s="26">
        <v>0.1111111111111111</v>
      </c>
    </row>
    <row r="113" spans="1:17" x14ac:dyDescent="0.3">
      <c r="A113">
        <v>164</v>
      </c>
      <c r="B113" s="3">
        <v>5.406941738209686</v>
      </c>
      <c r="C113" s="2">
        <v>37.327147734103704</v>
      </c>
      <c r="D113" s="1">
        <v>3.0724319856938305</v>
      </c>
      <c r="E113" s="9">
        <f t="shared" si="8"/>
        <v>9.331786933525926</v>
      </c>
      <c r="F113" s="3">
        <f t="shared" si="9"/>
        <v>6.144863971387661E-2</v>
      </c>
      <c r="G113">
        <f t="shared" ca="1" si="10"/>
        <v>3</v>
      </c>
      <c r="H113" s="9">
        <f t="shared" ca="1" si="11"/>
        <v>75</v>
      </c>
      <c r="I113" s="12">
        <f t="shared" si="12"/>
        <v>1</v>
      </c>
      <c r="J113" s="30">
        <f t="shared" ca="1" si="13"/>
        <v>65.668213066474067</v>
      </c>
      <c r="K113" s="45">
        <f t="shared" ca="1" si="14"/>
        <v>12.145167498737971</v>
      </c>
      <c r="L113" s="35">
        <f t="shared" si="15"/>
        <v>197.28675056891745</v>
      </c>
      <c r="O113">
        <v>94</v>
      </c>
      <c r="P113" s="9">
        <v>13402.006953925504</v>
      </c>
      <c r="Q113" s="26">
        <v>0.10332103321033211</v>
      </c>
    </row>
    <row r="114" spans="1:17" x14ac:dyDescent="0.3">
      <c r="A114">
        <v>757</v>
      </c>
      <c r="B114" s="3">
        <v>2.5456532643571594</v>
      </c>
      <c r="C114" s="2">
        <v>29.709814670131951</v>
      </c>
      <c r="D114" s="1">
        <v>1.1009089778132859</v>
      </c>
      <c r="E114" s="9">
        <f t="shared" si="8"/>
        <v>7.4274536675329879</v>
      </c>
      <c r="F114" s="3">
        <f t="shared" si="9"/>
        <v>2.201817955626572E-2</v>
      </c>
      <c r="G114">
        <f t="shared" ca="1" si="10"/>
        <v>2</v>
      </c>
      <c r="H114" s="9">
        <f t="shared" ca="1" si="11"/>
        <v>50</v>
      </c>
      <c r="I114" s="12">
        <f t="shared" si="12"/>
        <v>1</v>
      </c>
      <c r="J114" s="30">
        <f t="shared" ca="1" si="13"/>
        <v>42.572546332467013</v>
      </c>
      <c r="K114" s="45">
        <f t="shared" ca="1" si="14"/>
        <v>16.723623334153341</v>
      </c>
      <c r="L114" s="35">
        <f t="shared" si="15"/>
        <v>194.7410973045603</v>
      </c>
      <c r="O114">
        <v>95</v>
      </c>
      <c r="P114" s="9">
        <v>13527.006953925504</v>
      </c>
      <c r="Q114" s="26">
        <v>9.1130012150668294E-2</v>
      </c>
    </row>
    <row r="115" spans="1:17" x14ac:dyDescent="0.3">
      <c r="A115">
        <v>273</v>
      </c>
      <c r="B115" s="3">
        <v>3.2528975429176779</v>
      </c>
      <c r="C115" s="2">
        <v>84.693555328778388</v>
      </c>
      <c r="D115" s="1">
        <v>1.599686353055632</v>
      </c>
      <c r="E115" s="9">
        <f t="shared" si="8"/>
        <v>21.173388832194597</v>
      </c>
      <c r="F115" s="3">
        <f t="shared" si="9"/>
        <v>3.1993727061112642E-2</v>
      </c>
      <c r="G115">
        <f t="shared" ca="1" si="10"/>
        <v>3</v>
      </c>
      <c r="H115" s="9">
        <f t="shared" ca="1" si="11"/>
        <v>75</v>
      </c>
      <c r="I115" s="12">
        <f t="shared" si="12"/>
        <v>1</v>
      </c>
      <c r="J115" s="30">
        <f t="shared" ca="1" si="13"/>
        <v>53.826611167805403</v>
      </c>
      <c r="K115" s="45">
        <f t="shared" ca="1" si="14"/>
        <v>16.547281449118675</v>
      </c>
      <c r="L115" s="35">
        <f t="shared" si="15"/>
        <v>191.48819976164262</v>
      </c>
      <c r="O115">
        <v>96</v>
      </c>
      <c r="P115" s="9">
        <v>13202.006953925504</v>
      </c>
      <c r="Q115" s="26">
        <v>0.12628865979381443</v>
      </c>
    </row>
    <row r="116" spans="1:17" x14ac:dyDescent="0.3">
      <c r="A116">
        <v>857</v>
      </c>
      <c r="B116" s="3">
        <v>7.5733691751827648</v>
      </c>
      <c r="C116" s="2">
        <v>4.8066627218295572</v>
      </c>
      <c r="D116" s="1">
        <v>2.9252380773878981</v>
      </c>
      <c r="E116" s="9">
        <f t="shared" si="8"/>
        <v>1.2016656804573893</v>
      </c>
      <c r="F116" s="3">
        <f t="shared" si="9"/>
        <v>5.8504761547757966E-2</v>
      </c>
      <c r="G116">
        <f t="shared" ca="1" si="10"/>
        <v>1</v>
      </c>
      <c r="H116" s="9">
        <f t="shared" ca="1" si="11"/>
        <v>25</v>
      </c>
      <c r="I116" s="12">
        <f t="shared" si="12"/>
        <v>1</v>
      </c>
      <c r="J116" s="30">
        <f t="shared" ca="1" si="13"/>
        <v>23.798334319542612</v>
      </c>
      <c r="K116" s="45">
        <f t="shared" ca="1" si="14"/>
        <v>3.1423708218962263</v>
      </c>
      <c r="L116" s="35">
        <f t="shared" si="15"/>
        <v>183.91483058645986</v>
      </c>
      <c r="O116">
        <v>97</v>
      </c>
      <c r="P116" s="9">
        <v>12377.006953925504</v>
      </c>
      <c r="Q116" s="26">
        <v>0.1115485564304462</v>
      </c>
    </row>
    <row r="117" spans="1:17" x14ac:dyDescent="0.3">
      <c r="A117">
        <v>1019</v>
      </c>
      <c r="B117" s="3">
        <v>5.5401622001281705</v>
      </c>
      <c r="C117" s="2">
        <v>40.666692342092162</v>
      </c>
      <c r="D117" s="1">
        <v>3.222612949421094</v>
      </c>
      <c r="E117" s="9">
        <f t="shared" si="8"/>
        <v>10.16667308552304</v>
      </c>
      <c r="F117" s="3">
        <f t="shared" si="9"/>
        <v>6.4452258988421884E-2</v>
      </c>
      <c r="G117">
        <f t="shared" ca="1" si="10"/>
        <v>5</v>
      </c>
      <c r="H117" s="9">
        <f t="shared" ca="1" si="11"/>
        <v>125</v>
      </c>
      <c r="I117" s="12">
        <f t="shared" si="12"/>
        <v>1</v>
      </c>
      <c r="J117" s="30">
        <f t="shared" ca="1" si="13"/>
        <v>114.83332691447696</v>
      </c>
      <c r="K117" s="45">
        <f t="shared" ca="1" si="14"/>
        <v>20.727430491443069</v>
      </c>
      <c r="L117" s="35">
        <f t="shared" si="15"/>
        <v>178.37466838633168</v>
      </c>
      <c r="O117">
        <v>98</v>
      </c>
      <c r="P117" s="9">
        <v>12927.006953925504</v>
      </c>
      <c r="Q117" s="26">
        <v>0.10387984981226533</v>
      </c>
    </row>
    <row r="118" spans="1:17" x14ac:dyDescent="0.3">
      <c r="A118">
        <v>109</v>
      </c>
      <c r="B118" s="3">
        <v>2.7549304722085735</v>
      </c>
      <c r="C118" s="2">
        <v>22.014575282015713</v>
      </c>
      <c r="D118" s="1">
        <v>2.1939577068244605</v>
      </c>
      <c r="E118" s="9">
        <f t="shared" si="8"/>
        <v>5.5036438205039282</v>
      </c>
      <c r="F118" s="3">
        <f t="shared" si="9"/>
        <v>4.3879154136489212E-2</v>
      </c>
      <c r="G118">
        <f t="shared" ca="1" si="10"/>
        <v>2</v>
      </c>
      <c r="H118" s="9">
        <f t="shared" ca="1" si="11"/>
        <v>50</v>
      </c>
      <c r="I118" s="12">
        <f t="shared" si="12"/>
        <v>1</v>
      </c>
      <c r="J118" s="30">
        <f t="shared" ca="1" si="13"/>
        <v>44.496356179496075</v>
      </c>
      <c r="K118" s="45">
        <f t="shared" ca="1" si="14"/>
        <v>16.151535085320763</v>
      </c>
      <c r="L118" s="35">
        <f t="shared" si="15"/>
        <v>175.61973791412311</v>
      </c>
      <c r="O118">
        <v>99</v>
      </c>
      <c r="P118" s="9">
        <v>13327.006953925504</v>
      </c>
      <c r="Q118" s="26">
        <v>0.10773130544993663</v>
      </c>
    </row>
    <row r="119" spans="1:17" x14ac:dyDescent="0.3">
      <c r="A119">
        <v>984</v>
      </c>
      <c r="B119" s="3">
        <v>4.6998538627391362</v>
      </c>
      <c r="C119" s="2">
        <v>98.273515475890534</v>
      </c>
      <c r="D119" s="1">
        <v>2.9115368232805516</v>
      </c>
      <c r="E119" s="9">
        <f t="shared" si="8"/>
        <v>24.568378868972633</v>
      </c>
      <c r="F119" s="3">
        <f t="shared" si="9"/>
        <v>5.8230736465611034E-2</v>
      </c>
      <c r="G119">
        <f t="shared" ca="1" si="10"/>
        <v>6</v>
      </c>
      <c r="H119" s="9">
        <f t="shared" ca="1" si="11"/>
        <v>150</v>
      </c>
      <c r="I119" s="12">
        <f t="shared" si="12"/>
        <v>1</v>
      </c>
      <c r="J119" s="30">
        <f t="shared" ca="1" si="13"/>
        <v>125.43162113102737</v>
      </c>
      <c r="K119" s="45">
        <f t="shared" ca="1" si="14"/>
        <v>26.688408787656257</v>
      </c>
      <c r="L119" s="35">
        <f t="shared" si="15"/>
        <v>170.91988405138397</v>
      </c>
      <c r="O119">
        <v>100</v>
      </c>
      <c r="P119" s="9">
        <v>13577.006953925504</v>
      </c>
      <c r="Q119" s="26">
        <v>8.9680589680589687E-2</v>
      </c>
    </row>
    <row r="120" spans="1:17" x14ac:dyDescent="0.3">
      <c r="A120">
        <v>942</v>
      </c>
      <c r="B120" s="3">
        <v>5.2245469511436777</v>
      </c>
      <c r="C120" s="2">
        <v>66.474177386765433</v>
      </c>
      <c r="D120" s="1">
        <v>3.1902110097848069</v>
      </c>
      <c r="E120" s="9">
        <f t="shared" si="8"/>
        <v>16.618544346691358</v>
      </c>
      <c r="F120" s="3">
        <f t="shared" si="9"/>
        <v>6.3804220195696135E-2</v>
      </c>
      <c r="G120">
        <f t="shared" ca="1" si="10"/>
        <v>4</v>
      </c>
      <c r="H120" s="9">
        <f t="shared" ca="1" si="11"/>
        <v>100</v>
      </c>
      <c r="I120" s="12">
        <f t="shared" si="12"/>
        <v>1</v>
      </c>
      <c r="J120" s="30">
        <f t="shared" ca="1" si="13"/>
        <v>83.381455653308649</v>
      </c>
      <c r="K120" s="45">
        <f t="shared" ca="1" si="14"/>
        <v>15.959557150703002</v>
      </c>
      <c r="L120" s="35">
        <f t="shared" si="15"/>
        <v>165.69533710024029</v>
      </c>
      <c r="O120">
        <v>101</v>
      </c>
      <c r="P120" s="9">
        <v>14002.006953925504</v>
      </c>
      <c r="Q120" s="26">
        <v>9.0330788804071249E-2</v>
      </c>
    </row>
    <row r="121" spans="1:17" x14ac:dyDescent="0.3">
      <c r="A121">
        <v>1012</v>
      </c>
      <c r="B121" s="3">
        <v>1.4930828690322018</v>
      </c>
      <c r="C121" s="2">
        <v>5.7791552874007284</v>
      </c>
      <c r="D121" s="1">
        <v>2.2217941189331287</v>
      </c>
      <c r="E121" s="9">
        <f t="shared" si="8"/>
        <v>1.4447888218501821</v>
      </c>
      <c r="F121" s="3">
        <f t="shared" si="9"/>
        <v>4.4435882378662576E-2</v>
      </c>
      <c r="G121">
        <f t="shared" ca="1" si="10"/>
        <v>3</v>
      </c>
      <c r="H121" s="9">
        <f t="shared" ca="1" si="11"/>
        <v>75</v>
      </c>
      <c r="I121" s="12">
        <f t="shared" si="12"/>
        <v>1</v>
      </c>
      <c r="J121" s="30">
        <f t="shared" ca="1" si="13"/>
        <v>73.555211178149818</v>
      </c>
      <c r="K121" s="45">
        <f t="shared" ca="1" si="14"/>
        <v>49.26398440685842</v>
      </c>
      <c r="L121" s="35">
        <f t="shared" si="15"/>
        <v>164.20225423120809</v>
      </c>
      <c r="O121">
        <v>102</v>
      </c>
      <c r="P121" s="9">
        <v>12877.006953925504</v>
      </c>
      <c r="Q121" s="26">
        <v>0.11083437110834371</v>
      </c>
    </row>
    <row r="122" spans="1:17" x14ac:dyDescent="0.3">
      <c r="A122">
        <v>811</v>
      </c>
      <c r="B122" s="3">
        <v>5.8606499311598288</v>
      </c>
      <c r="C122" s="2">
        <v>31.839208794716011</v>
      </c>
      <c r="D122" s="1">
        <v>3.0826926916543917</v>
      </c>
      <c r="E122" s="9">
        <f t="shared" si="8"/>
        <v>7.9598021986790028</v>
      </c>
      <c r="F122" s="3">
        <f t="shared" si="9"/>
        <v>6.1653853833087836E-2</v>
      </c>
      <c r="G122">
        <f t="shared" ca="1" si="10"/>
        <v>5</v>
      </c>
      <c r="H122" s="9">
        <f t="shared" ca="1" si="11"/>
        <v>125</v>
      </c>
      <c r="I122" s="12">
        <f t="shared" si="12"/>
        <v>1</v>
      </c>
      <c r="J122" s="30">
        <f t="shared" ca="1" si="13"/>
        <v>117.040197801321</v>
      </c>
      <c r="K122" s="45">
        <f t="shared" ca="1" si="14"/>
        <v>19.970515075306437</v>
      </c>
      <c r="L122" s="35">
        <f t="shared" si="15"/>
        <v>158.34160430004826</v>
      </c>
      <c r="O122">
        <v>103</v>
      </c>
      <c r="P122" s="9">
        <v>14627.006953925504</v>
      </c>
      <c r="Q122" s="26">
        <v>9.5011876484560567E-2</v>
      </c>
    </row>
    <row r="123" spans="1:17" x14ac:dyDescent="0.3">
      <c r="A123">
        <v>1032</v>
      </c>
      <c r="B123" s="3">
        <v>2.5798664992256324</v>
      </c>
      <c r="C123" s="2">
        <v>40.041023926166311</v>
      </c>
      <c r="D123" s="1">
        <v>2.6549798139529712</v>
      </c>
      <c r="E123" s="9">
        <f t="shared" si="8"/>
        <v>10.010255981541578</v>
      </c>
      <c r="F123" s="3">
        <f t="shared" si="9"/>
        <v>5.3099596279059427E-2</v>
      </c>
      <c r="G123">
        <f t="shared" ca="1" si="10"/>
        <v>1</v>
      </c>
      <c r="H123" s="9">
        <f t="shared" ca="1" si="11"/>
        <v>25</v>
      </c>
      <c r="I123" s="12">
        <f t="shared" si="12"/>
        <v>1</v>
      </c>
      <c r="J123" s="30">
        <f t="shared" ca="1" si="13"/>
        <v>14.989744018458422</v>
      </c>
      <c r="K123" s="45">
        <f t="shared" ca="1" si="14"/>
        <v>5.810278951627037</v>
      </c>
      <c r="L123" s="35">
        <f t="shared" si="15"/>
        <v>155.76173780082263</v>
      </c>
      <c r="O123">
        <v>104</v>
      </c>
      <c r="P123" s="9">
        <v>13077.006953925504</v>
      </c>
      <c r="Q123" s="26">
        <v>9.7170971709717099E-2</v>
      </c>
    </row>
    <row r="124" spans="1:17" x14ac:dyDescent="0.3">
      <c r="A124">
        <v>43</v>
      </c>
      <c r="B124" s="3">
        <v>3.4400274060550249</v>
      </c>
      <c r="C124" s="2">
        <v>88.544864640030255</v>
      </c>
      <c r="D124" s="1">
        <v>2.2861074462835766</v>
      </c>
      <c r="E124" s="9">
        <f t="shared" si="8"/>
        <v>22.136216160007564</v>
      </c>
      <c r="F124" s="3">
        <f t="shared" si="9"/>
        <v>4.5722148925671537E-2</v>
      </c>
      <c r="G124">
        <f t="shared" ca="1" si="10"/>
        <v>0</v>
      </c>
      <c r="H124" s="9">
        <f t="shared" ca="1" si="11"/>
        <v>0</v>
      </c>
      <c r="I124" s="12">
        <f t="shared" si="12"/>
        <v>1</v>
      </c>
      <c r="J124" s="30">
        <f t="shared" ca="1" si="13"/>
        <v>-22.136216160007564</v>
      </c>
      <c r="K124" s="45">
        <f t="shared" ca="1" si="14"/>
        <v>-6.4348952921259039</v>
      </c>
      <c r="L124" s="35">
        <f t="shared" si="15"/>
        <v>152.32171039476759</v>
      </c>
      <c r="O124">
        <v>105</v>
      </c>
      <c r="P124" s="9">
        <v>13577.006953925504</v>
      </c>
      <c r="Q124" s="26">
        <v>0.10442260442260443</v>
      </c>
    </row>
    <row r="125" spans="1:17" x14ac:dyDescent="0.3">
      <c r="A125">
        <v>25</v>
      </c>
      <c r="B125" s="3">
        <v>5.8675915694035261</v>
      </c>
      <c r="C125" s="2">
        <v>44.703870048327666</v>
      </c>
      <c r="D125" s="1">
        <v>2.0787762988409098</v>
      </c>
      <c r="E125" s="9">
        <f t="shared" si="8"/>
        <v>11.175967512081916</v>
      </c>
      <c r="F125" s="3">
        <f t="shared" si="9"/>
        <v>4.1575525976818198E-2</v>
      </c>
      <c r="G125">
        <f t="shared" ca="1" si="10"/>
        <v>3</v>
      </c>
      <c r="H125" s="9">
        <f t="shared" ca="1" si="11"/>
        <v>75</v>
      </c>
      <c r="I125" s="12">
        <f t="shared" si="12"/>
        <v>1</v>
      </c>
      <c r="J125" s="30">
        <f t="shared" ca="1" si="13"/>
        <v>63.824032487918082</v>
      </c>
      <c r="K125" s="45">
        <f t="shared" ca="1" si="14"/>
        <v>10.877381585440883</v>
      </c>
      <c r="L125" s="35">
        <f t="shared" si="15"/>
        <v>146.45411882536408</v>
      </c>
      <c r="O125">
        <v>106</v>
      </c>
      <c r="P125" s="9">
        <v>12977.006953925504</v>
      </c>
      <c r="Q125" s="26">
        <v>0.11734693877551021</v>
      </c>
    </row>
    <row r="126" spans="1:17" x14ac:dyDescent="0.3">
      <c r="A126">
        <v>582</v>
      </c>
      <c r="B126" s="3">
        <v>5.6107386917113438</v>
      </c>
      <c r="C126" s="2">
        <v>62.244386652207581</v>
      </c>
      <c r="D126" s="1">
        <v>2.9546760293938039</v>
      </c>
      <c r="E126" s="9">
        <f t="shared" si="8"/>
        <v>15.561096663051895</v>
      </c>
      <c r="F126" s="3">
        <f t="shared" si="9"/>
        <v>5.9093520587876078E-2</v>
      </c>
      <c r="G126">
        <f t="shared" ca="1" si="10"/>
        <v>3</v>
      </c>
      <c r="H126" s="9">
        <f t="shared" ca="1" si="11"/>
        <v>75</v>
      </c>
      <c r="I126" s="12">
        <f t="shared" si="12"/>
        <v>1</v>
      </c>
      <c r="J126" s="30">
        <f t="shared" ca="1" si="13"/>
        <v>59.438903336948101</v>
      </c>
      <c r="K126" s="45">
        <f t="shared" ca="1" si="14"/>
        <v>10.593775009475358</v>
      </c>
      <c r="L126" s="35">
        <f t="shared" si="15"/>
        <v>140.84338013365274</v>
      </c>
      <c r="O126">
        <v>107</v>
      </c>
      <c r="P126" s="9">
        <v>13202.006953925504</v>
      </c>
      <c r="Q126" s="26">
        <v>0.10401002506265664</v>
      </c>
    </row>
    <row r="127" spans="1:17" x14ac:dyDescent="0.3">
      <c r="A127">
        <v>842</v>
      </c>
      <c r="B127" s="3">
        <v>2.538891127769892</v>
      </c>
      <c r="C127" s="2">
        <v>48.645523075824016</v>
      </c>
      <c r="D127" s="1">
        <v>2.0429833194461549</v>
      </c>
      <c r="E127" s="9">
        <f t="shared" si="8"/>
        <v>12.161380768956004</v>
      </c>
      <c r="F127" s="3">
        <f t="shared" si="9"/>
        <v>4.0859666388923098E-2</v>
      </c>
      <c r="G127">
        <f t="shared" ca="1" si="10"/>
        <v>1</v>
      </c>
      <c r="H127" s="9">
        <f t="shared" ca="1" si="11"/>
        <v>25</v>
      </c>
      <c r="I127" s="12">
        <f t="shared" si="12"/>
        <v>1</v>
      </c>
      <c r="J127" s="30">
        <f t="shared" ca="1" si="13"/>
        <v>12.838619231043996</v>
      </c>
      <c r="K127" s="45">
        <f t="shared" ca="1" si="14"/>
        <v>5.0567821087787905</v>
      </c>
      <c r="L127" s="35">
        <f t="shared" si="15"/>
        <v>138.30448900588286</v>
      </c>
      <c r="O127">
        <v>108</v>
      </c>
      <c r="P127" s="9">
        <v>13477.006953925504</v>
      </c>
      <c r="Q127" s="26">
        <v>0.10767326732673267</v>
      </c>
    </row>
    <row r="128" spans="1:17" x14ac:dyDescent="0.3">
      <c r="A128">
        <v>469</v>
      </c>
      <c r="B128" s="3">
        <v>1.960260648324007</v>
      </c>
      <c r="C128" s="2">
        <v>84.827544236003277</v>
      </c>
      <c r="D128" s="1">
        <v>1.4916155764711687</v>
      </c>
      <c r="E128" s="9">
        <f t="shared" si="8"/>
        <v>21.206886059000819</v>
      </c>
      <c r="F128" s="3">
        <f t="shared" si="9"/>
        <v>2.9832311529423373E-2</v>
      </c>
      <c r="G128">
        <f t="shared" ca="1" si="10"/>
        <v>2</v>
      </c>
      <c r="H128" s="9">
        <f t="shared" ca="1" si="11"/>
        <v>50</v>
      </c>
      <c r="I128" s="12">
        <f t="shared" si="12"/>
        <v>1</v>
      </c>
      <c r="J128" s="30">
        <f t="shared" ca="1" si="13"/>
        <v>28.793113940999181</v>
      </c>
      <c r="K128" s="45">
        <f t="shared" ca="1" si="14"/>
        <v>14.688410934340213</v>
      </c>
      <c r="L128" s="35">
        <f t="shared" si="15"/>
        <v>136.34422835755885</v>
      </c>
      <c r="O128">
        <v>109</v>
      </c>
      <c r="P128" s="9">
        <v>13627.006953925504</v>
      </c>
      <c r="Q128" s="26">
        <v>0.11026615969581749</v>
      </c>
    </row>
    <row r="129" spans="1:17" x14ac:dyDescent="0.3">
      <c r="A129">
        <v>341</v>
      </c>
      <c r="B129" s="3">
        <v>9.2937775533492317</v>
      </c>
      <c r="C129" s="2">
        <v>55.243463507221854</v>
      </c>
      <c r="D129" s="1">
        <v>3.2323925522587835</v>
      </c>
      <c r="E129" s="9">
        <f t="shared" si="8"/>
        <v>13.810865876805464</v>
      </c>
      <c r="F129" s="3">
        <f t="shared" si="9"/>
        <v>6.4647851045175675E-2</v>
      </c>
      <c r="G129">
        <f t="shared" ca="1" si="10"/>
        <v>4</v>
      </c>
      <c r="H129" s="9">
        <f t="shared" ca="1" si="11"/>
        <v>100</v>
      </c>
      <c r="I129" s="12">
        <f t="shared" si="12"/>
        <v>1</v>
      </c>
      <c r="J129" s="30">
        <f t="shared" ca="1" si="13"/>
        <v>86.189134123194535</v>
      </c>
      <c r="K129" s="45">
        <f t="shared" ca="1" si="14"/>
        <v>9.2738537831835934</v>
      </c>
      <c r="L129" s="35">
        <f t="shared" si="15"/>
        <v>127.05045080420962</v>
      </c>
      <c r="O129">
        <v>110</v>
      </c>
      <c r="P129" s="9">
        <v>13477.006953925504</v>
      </c>
      <c r="Q129" s="26">
        <v>0.115995115995116</v>
      </c>
    </row>
    <row r="130" spans="1:17" x14ac:dyDescent="0.3">
      <c r="A130">
        <v>75</v>
      </c>
      <c r="B130" s="3">
        <v>2.9621946476247829</v>
      </c>
      <c r="C130" s="2">
        <v>27.869016038483817</v>
      </c>
      <c r="D130" s="1">
        <v>2.0328118140297322</v>
      </c>
      <c r="E130" s="9">
        <f t="shared" ref="E130:E193" si="16">0.25*C130</f>
        <v>6.9672540096209543</v>
      </c>
      <c r="F130" s="3">
        <f t="shared" ref="F130:F193" si="17">(1/50)*D130</f>
        <v>4.0656236280594643E-2</v>
      </c>
      <c r="G130">
        <f t="shared" ref="G130:G193" ca="1" si="18">_xlfn.BINOM.INV(50,F130,RAND())</f>
        <v>3</v>
      </c>
      <c r="H130" s="9">
        <f t="shared" ref="H130:H193" ca="1" si="19">G130*25</f>
        <v>75</v>
      </c>
      <c r="I130" s="12">
        <f t="shared" ref="I130:I193" si="20">IF(L130&gt;0,1,0)</f>
        <v>1</v>
      </c>
      <c r="J130" s="30">
        <f t="shared" ref="J130:J193" ca="1" si="21">H130-E130</f>
        <v>68.032745990379041</v>
      </c>
      <c r="K130" s="45">
        <f t="shared" ref="K130:K193" ca="1" si="22">J130/B130</f>
        <v>22.967007264337159</v>
      </c>
      <c r="L130" s="35">
        <f t="shared" si="15"/>
        <v>124.08825615658483</v>
      </c>
      <c r="O130">
        <v>111</v>
      </c>
      <c r="P130" s="9">
        <v>13502.006953925504</v>
      </c>
      <c r="Q130" s="26">
        <v>0.10583941605839416</v>
      </c>
    </row>
    <row r="131" spans="1:17" x14ac:dyDescent="0.3">
      <c r="A131">
        <v>19</v>
      </c>
      <c r="B131" s="3">
        <v>6.8546947112993406</v>
      </c>
      <c r="C131" s="2">
        <v>3.9176987602417612</v>
      </c>
      <c r="D131" s="1">
        <v>2.8831571025905278</v>
      </c>
      <c r="E131" s="9">
        <f t="shared" si="16"/>
        <v>0.97942469006044031</v>
      </c>
      <c r="F131" s="3">
        <f t="shared" si="17"/>
        <v>5.7663142051810556E-2</v>
      </c>
      <c r="G131">
        <f t="shared" ca="1" si="18"/>
        <v>4</v>
      </c>
      <c r="H131" s="9">
        <f t="shared" ca="1" si="19"/>
        <v>100</v>
      </c>
      <c r="I131" s="12">
        <f t="shared" si="20"/>
        <v>1</v>
      </c>
      <c r="J131" s="30">
        <f t="shared" ca="1" si="21"/>
        <v>99.020575309939559</v>
      </c>
      <c r="K131" s="45">
        <f t="shared" ca="1" si="22"/>
        <v>14.445657973171752</v>
      </c>
      <c r="L131" s="35">
        <f t="shared" si="15"/>
        <v>117.23356144528549</v>
      </c>
      <c r="O131">
        <v>112</v>
      </c>
      <c r="P131" s="9">
        <v>13652.006953925504</v>
      </c>
      <c r="Q131" s="26">
        <v>0.11248454882571075</v>
      </c>
    </row>
    <row r="132" spans="1:17" x14ac:dyDescent="0.3">
      <c r="A132">
        <v>252</v>
      </c>
      <c r="B132" s="3">
        <v>2.3721224458470425</v>
      </c>
      <c r="C132" s="2">
        <v>65.229103657277548</v>
      </c>
      <c r="D132" s="1">
        <v>0.93048975915511445</v>
      </c>
      <c r="E132" s="9">
        <f t="shared" si="16"/>
        <v>16.307275914319387</v>
      </c>
      <c r="F132" s="3">
        <f t="shared" si="17"/>
        <v>1.8609795183102289E-2</v>
      </c>
      <c r="G132">
        <f t="shared" ca="1" si="18"/>
        <v>2</v>
      </c>
      <c r="H132" s="9">
        <f t="shared" ca="1" si="19"/>
        <v>50</v>
      </c>
      <c r="I132" s="12">
        <f t="shared" si="20"/>
        <v>1</v>
      </c>
      <c r="J132" s="30">
        <f t="shared" ca="1" si="21"/>
        <v>33.692724085680609</v>
      </c>
      <c r="K132" s="45">
        <f t="shared" ca="1" si="22"/>
        <v>14.203619271284936</v>
      </c>
      <c r="L132" s="35">
        <f t="shared" ref="L132:L195" si="23">L131-B132</f>
        <v>114.86143899943845</v>
      </c>
      <c r="O132">
        <v>113</v>
      </c>
      <c r="P132" s="9">
        <v>13902.006953925504</v>
      </c>
      <c r="Q132" s="26">
        <v>0.1166464155528554</v>
      </c>
    </row>
    <row r="133" spans="1:17" x14ac:dyDescent="0.3">
      <c r="A133">
        <v>470</v>
      </c>
      <c r="B133" s="3">
        <v>6.9519228468531882</v>
      </c>
      <c r="C133" s="2">
        <v>8.8744800057905628</v>
      </c>
      <c r="D133" s="1">
        <v>3.0340246196971177</v>
      </c>
      <c r="E133" s="9">
        <f t="shared" si="16"/>
        <v>2.2186200014476407</v>
      </c>
      <c r="F133" s="3">
        <f t="shared" si="17"/>
        <v>6.0680492393942354E-2</v>
      </c>
      <c r="G133">
        <f t="shared" ca="1" si="18"/>
        <v>3</v>
      </c>
      <c r="H133" s="9">
        <f t="shared" ca="1" si="19"/>
        <v>75</v>
      </c>
      <c r="I133" s="12">
        <f t="shared" si="20"/>
        <v>1</v>
      </c>
      <c r="J133" s="30">
        <f t="shared" ca="1" si="21"/>
        <v>72.781379998552353</v>
      </c>
      <c r="K133" s="45">
        <f t="shared" ca="1" si="22"/>
        <v>10.469244495642972</v>
      </c>
      <c r="L133" s="35">
        <f t="shared" si="23"/>
        <v>107.90951615258525</v>
      </c>
      <c r="O133">
        <v>114</v>
      </c>
      <c r="P133" s="9">
        <v>13577.006953925504</v>
      </c>
      <c r="Q133" s="26">
        <v>0.10268948655256724</v>
      </c>
    </row>
    <row r="134" spans="1:17" x14ac:dyDescent="0.3">
      <c r="A134">
        <v>356</v>
      </c>
      <c r="B134" s="3">
        <v>8.5187015079434971</v>
      </c>
      <c r="C134" s="2">
        <v>20.900864679576038</v>
      </c>
      <c r="D134" s="1">
        <v>3.1827037614280886</v>
      </c>
      <c r="E134" s="9">
        <f t="shared" si="16"/>
        <v>5.2252161698940096</v>
      </c>
      <c r="F134" s="3">
        <f t="shared" si="17"/>
        <v>6.3654075228561771E-2</v>
      </c>
      <c r="G134">
        <f t="shared" ca="1" si="18"/>
        <v>2</v>
      </c>
      <c r="H134" s="9">
        <f t="shared" ca="1" si="19"/>
        <v>50</v>
      </c>
      <c r="I134" s="12">
        <f t="shared" si="20"/>
        <v>1</v>
      </c>
      <c r="J134" s="30">
        <f t="shared" ca="1" si="21"/>
        <v>44.774783830105989</v>
      </c>
      <c r="K134" s="45">
        <f t="shared" ca="1" si="22"/>
        <v>5.2560573684093184</v>
      </c>
      <c r="L134" s="35">
        <f t="shared" si="23"/>
        <v>99.39081464464175</v>
      </c>
      <c r="O134">
        <v>115</v>
      </c>
      <c r="P134" s="9">
        <v>13027.006953925504</v>
      </c>
      <c r="Q134" s="26">
        <v>0.10627400768245839</v>
      </c>
    </row>
    <row r="135" spans="1:17" x14ac:dyDescent="0.3">
      <c r="A135">
        <v>351</v>
      </c>
      <c r="B135" s="3">
        <v>4.1220954974993038</v>
      </c>
      <c r="C135" s="2">
        <v>69.265305667851678</v>
      </c>
      <c r="D135" s="1">
        <v>2.0491454522982719</v>
      </c>
      <c r="E135" s="9">
        <f t="shared" si="16"/>
        <v>17.316326416962919</v>
      </c>
      <c r="F135" s="3">
        <f t="shared" si="17"/>
        <v>4.0982909045965438E-2</v>
      </c>
      <c r="G135">
        <f t="shared" ca="1" si="18"/>
        <v>2</v>
      </c>
      <c r="H135" s="9">
        <f t="shared" ca="1" si="19"/>
        <v>50</v>
      </c>
      <c r="I135" s="12">
        <f t="shared" si="20"/>
        <v>1</v>
      </c>
      <c r="J135" s="30">
        <f t="shared" ca="1" si="21"/>
        <v>32.683673583037077</v>
      </c>
      <c r="K135" s="45">
        <f t="shared" ca="1" si="22"/>
        <v>7.9288977178876232</v>
      </c>
      <c r="L135" s="35">
        <f t="shared" si="23"/>
        <v>95.268719147142448</v>
      </c>
      <c r="O135">
        <v>116</v>
      </c>
      <c r="P135" s="9">
        <v>13952.006953925504</v>
      </c>
      <c r="Q135" s="26">
        <v>8.7677725118483416E-2</v>
      </c>
    </row>
    <row r="136" spans="1:17" x14ac:dyDescent="0.3">
      <c r="A136">
        <v>853</v>
      </c>
      <c r="B136" s="3">
        <v>7.0539311336542854</v>
      </c>
      <c r="C136" s="2">
        <v>5.3315748519488508</v>
      </c>
      <c r="D136" s="1">
        <v>1.9167112653606846</v>
      </c>
      <c r="E136" s="9">
        <f t="shared" si="16"/>
        <v>1.3328937129872127</v>
      </c>
      <c r="F136" s="3">
        <f t="shared" si="17"/>
        <v>3.8334225307213692E-2</v>
      </c>
      <c r="G136">
        <f t="shared" ca="1" si="18"/>
        <v>2</v>
      </c>
      <c r="H136" s="9">
        <f t="shared" ca="1" si="19"/>
        <v>50</v>
      </c>
      <c r="I136" s="12">
        <f t="shared" si="20"/>
        <v>1</v>
      </c>
      <c r="J136" s="30">
        <f t="shared" ca="1" si="21"/>
        <v>48.667106287012786</v>
      </c>
      <c r="K136" s="45">
        <f t="shared" ca="1" si="22"/>
        <v>6.8992885477463988</v>
      </c>
      <c r="L136" s="35">
        <f t="shared" si="23"/>
        <v>88.21478801348816</v>
      </c>
      <c r="O136">
        <v>117</v>
      </c>
      <c r="P136" s="9">
        <v>13552.006953925504</v>
      </c>
      <c r="Q136" s="26">
        <v>0.10061349693251534</v>
      </c>
    </row>
    <row r="137" spans="1:17" x14ac:dyDescent="0.3">
      <c r="A137">
        <v>617</v>
      </c>
      <c r="B137" s="3">
        <v>2.3678668591491849</v>
      </c>
      <c r="C137" s="2">
        <v>67.950210726920147</v>
      </c>
      <c r="D137" s="1">
        <v>1.4095983863444823</v>
      </c>
      <c r="E137" s="9">
        <f t="shared" si="16"/>
        <v>16.987552681730037</v>
      </c>
      <c r="F137" s="3">
        <f t="shared" si="17"/>
        <v>2.8191967726889647E-2</v>
      </c>
      <c r="G137">
        <f t="shared" ca="1" si="18"/>
        <v>4</v>
      </c>
      <c r="H137" s="9">
        <f t="shared" ca="1" si="19"/>
        <v>100</v>
      </c>
      <c r="I137" s="12">
        <f t="shared" si="20"/>
        <v>1</v>
      </c>
      <c r="J137" s="30">
        <f t="shared" ca="1" si="21"/>
        <v>83.012447318269963</v>
      </c>
      <c r="K137" s="45">
        <f t="shared" ca="1" si="22"/>
        <v>35.057903275903676</v>
      </c>
      <c r="L137" s="35">
        <f t="shared" si="23"/>
        <v>85.846921154338972</v>
      </c>
      <c r="O137">
        <v>118</v>
      </c>
      <c r="P137" s="9">
        <v>13627.006953925504</v>
      </c>
      <c r="Q137" s="26">
        <v>0.10024154589371981</v>
      </c>
    </row>
    <row r="138" spans="1:17" x14ac:dyDescent="0.3">
      <c r="A138">
        <v>476</v>
      </c>
      <c r="B138" s="3">
        <v>3.4385573789594392</v>
      </c>
      <c r="C138" s="2">
        <v>11.72597529678735</v>
      </c>
      <c r="D138" s="1">
        <v>2.1631363747642265</v>
      </c>
      <c r="E138" s="9">
        <f t="shared" si="16"/>
        <v>2.9314938241968376</v>
      </c>
      <c r="F138" s="3">
        <f t="shared" si="17"/>
        <v>4.3262727495284529E-2</v>
      </c>
      <c r="G138">
        <f t="shared" ca="1" si="18"/>
        <v>3</v>
      </c>
      <c r="H138" s="9">
        <f t="shared" ca="1" si="19"/>
        <v>75</v>
      </c>
      <c r="I138" s="12">
        <f t="shared" si="20"/>
        <v>1</v>
      </c>
      <c r="J138" s="30">
        <f t="shared" ca="1" si="21"/>
        <v>72.068506175803165</v>
      </c>
      <c r="K138" s="45">
        <f t="shared" ca="1" si="22"/>
        <v>20.958936621732981</v>
      </c>
      <c r="L138" s="35">
        <f t="shared" si="23"/>
        <v>82.408363775379527</v>
      </c>
      <c r="O138">
        <v>119</v>
      </c>
      <c r="P138" s="9">
        <v>12627.006953925504</v>
      </c>
      <c r="Q138" s="26">
        <v>0.12</v>
      </c>
    </row>
    <row r="139" spans="1:17" x14ac:dyDescent="0.3">
      <c r="A139">
        <v>145</v>
      </c>
      <c r="B139" s="3">
        <v>0.98081338394395035</v>
      </c>
      <c r="C139" s="2">
        <v>46.523428941277302</v>
      </c>
      <c r="D139" s="1">
        <v>1.2407981045838459</v>
      </c>
      <c r="E139" s="9">
        <f t="shared" si="16"/>
        <v>11.630857235319326</v>
      </c>
      <c r="F139" s="3">
        <f t="shared" si="17"/>
        <v>2.4815962091676916E-2</v>
      </c>
      <c r="G139">
        <f t="shared" ca="1" si="18"/>
        <v>1</v>
      </c>
      <c r="H139" s="9">
        <f t="shared" ca="1" si="19"/>
        <v>25</v>
      </c>
      <c r="I139" s="12">
        <f t="shared" si="20"/>
        <v>1</v>
      </c>
      <c r="J139" s="30">
        <f t="shared" ca="1" si="21"/>
        <v>13.369142764680674</v>
      </c>
      <c r="K139" s="45">
        <f t="shared" ca="1" si="22"/>
        <v>13.63066918084049</v>
      </c>
      <c r="L139" s="35">
        <f t="shared" si="23"/>
        <v>81.427550391435574</v>
      </c>
      <c r="O139">
        <v>120</v>
      </c>
      <c r="P139" s="9">
        <v>12702.006953925504</v>
      </c>
      <c r="Q139" s="26">
        <v>0.10600255427841634</v>
      </c>
    </row>
    <row r="140" spans="1:17" x14ac:dyDescent="0.3">
      <c r="A140">
        <v>636</v>
      </c>
      <c r="B140" s="3">
        <v>0.85906094707500658</v>
      </c>
      <c r="C140" s="2">
        <v>53.184896424459929</v>
      </c>
      <c r="D140" s="1">
        <v>0.58910552497746771</v>
      </c>
      <c r="E140" s="9">
        <f t="shared" si="16"/>
        <v>13.296224106114982</v>
      </c>
      <c r="F140" s="3">
        <f t="shared" si="17"/>
        <v>1.1782110499549355E-2</v>
      </c>
      <c r="G140">
        <f t="shared" ca="1" si="18"/>
        <v>0</v>
      </c>
      <c r="H140" s="9">
        <f t="shared" ca="1" si="19"/>
        <v>0</v>
      </c>
      <c r="I140" s="12">
        <f t="shared" si="20"/>
        <v>1</v>
      </c>
      <c r="J140" s="30">
        <f t="shared" ca="1" si="21"/>
        <v>-13.296224106114982</v>
      </c>
      <c r="K140" s="45">
        <f t="shared" ca="1" si="22"/>
        <v>-15.477626065283188</v>
      </c>
      <c r="L140" s="35">
        <f t="shared" si="23"/>
        <v>80.568489444360566</v>
      </c>
      <c r="O140">
        <v>121</v>
      </c>
      <c r="P140" s="9">
        <v>13127.006953925504</v>
      </c>
      <c r="Q140" s="26">
        <v>0.10585305105853052</v>
      </c>
    </row>
    <row r="141" spans="1:17" x14ac:dyDescent="0.3">
      <c r="A141">
        <v>254</v>
      </c>
      <c r="B141" s="3">
        <v>4.7870116473770574</v>
      </c>
      <c r="C141" s="2">
        <v>40.881581255590341</v>
      </c>
      <c r="D141" s="1">
        <v>2.8350774468270128</v>
      </c>
      <c r="E141" s="9">
        <f t="shared" si="16"/>
        <v>10.220395313897585</v>
      </c>
      <c r="F141" s="3">
        <f t="shared" si="17"/>
        <v>5.6701548936540259E-2</v>
      </c>
      <c r="G141">
        <f t="shared" ca="1" si="18"/>
        <v>5</v>
      </c>
      <c r="H141" s="9">
        <f t="shared" ca="1" si="19"/>
        <v>125</v>
      </c>
      <c r="I141" s="12">
        <f t="shared" si="20"/>
        <v>1</v>
      </c>
      <c r="J141" s="30">
        <f t="shared" ca="1" si="21"/>
        <v>114.77960468610242</v>
      </c>
      <c r="K141" s="45">
        <f t="shared" ca="1" si="22"/>
        <v>23.977297976493016</v>
      </c>
      <c r="L141" s="35">
        <f t="shared" si="23"/>
        <v>75.781477796983509</v>
      </c>
      <c r="O141">
        <v>122</v>
      </c>
      <c r="P141" s="9">
        <v>12602.006953925504</v>
      </c>
      <c r="Q141" s="26">
        <v>0.12401055408970976</v>
      </c>
    </row>
    <row r="142" spans="1:17" x14ac:dyDescent="0.3">
      <c r="A142">
        <v>343</v>
      </c>
      <c r="B142" s="3">
        <v>9.9498099592155818</v>
      </c>
      <c r="C142" s="2">
        <v>62.51765045226999</v>
      </c>
      <c r="D142" s="1">
        <v>3.1480015347014954</v>
      </c>
      <c r="E142" s="9">
        <f t="shared" si="16"/>
        <v>15.629412613067498</v>
      </c>
      <c r="F142" s="3">
        <f t="shared" si="17"/>
        <v>6.2960030694029903E-2</v>
      </c>
      <c r="G142">
        <f t="shared" ca="1" si="18"/>
        <v>2</v>
      </c>
      <c r="H142" s="9">
        <f t="shared" ca="1" si="19"/>
        <v>50</v>
      </c>
      <c r="I142" s="12">
        <f t="shared" si="20"/>
        <v>1</v>
      </c>
      <c r="J142" s="30">
        <f t="shared" ca="1" si="21"/>
        <v>34.370587386932499</v>
      </c>
      <c r="K142" s="45">
        <f t="shared" ca="1" si="22"/>
        <v>3.4543963681535672</v>
      </c>
      <c r="L142" s="35">
        <f t="shared" si="23"/>
        <v>65.831667837767924</v>
      </c>
      <c r="O142">
        <v>123</v>
      </c>
      <c r="P142" s="9">
        <v>13702.006953925504</v>
      </c>
      <c r="Q142" s="26">
        <v>0.1023142509135201</v>
      </c>
    </row>
    <row r="143" spans="1:17" x14ac:dyDescent="0.3">
      <c r="A143">
        <v>1087</v>
      </c>
      <c r="B143" s="3">
        <v>1.5783199717317542</v>
      </c>
      <c r="C143" s="2">
        <v>16.035180164399755</v>
      </c>
      <c r="D143" s="1">
        <v>0.77773907008629262</v>
      </c>
      <c r="E143" s="9">
        <f t="shared" si="16"/>
        <v>4.0087950410999387</v>
      </c>
      <c r="F143" s="3">
        <f t="shared" si="17"/>
        <v>1.5554781401725852E-2</v>
      </c>
      <c r="G143">
        <f t="shared" ca="1" si="18"/>
        <v>1</v>
      </c>
      <c r="H143" s="9">
        <f t="shared" ca="1" si="19"/>
        <v>25</v>
      </c>
      <c r="I143" s="12">
        <f t="shared" si="20"/>
        <v>1</v>
      </c>
      <c r="J143" s="30">
        <f t="shared" ca="1" si="21"/>
        <v>20.991204958900063</v>
      </c>
      <c r="K143" s="45">
        <f t="shared" ca="1" si="22"/>
        <v>13.299714465291995</v>
      </c>
      <c r="L143" s="35">
        <f t="shared" si="23"/>
        <v>64.253347866036165</v>
      </c>
      <c r="O143">
        <v>124</v>
      </c>
      <c r="P143" s="9">
        <v>12427.006953925504</v>
      </c>
      <c r="Q143" s="26">
        <v>0.11994609164420485</v>
      </c>
    </row>
    <row r="144" spans="1:17" x14ac:dyDescent="0.3">
      <c r="A144">
        <v>377</v>
      </c>
      <c r="B144" s="3">
        <v>2.8519157528359718</v>
      </c>
      <c r="C144" s="2">
        <v>48.290938191724244</v>
      </c>
      <c r="D144" s="1">
        <v>3.2365742267164799</v>
      </c>
      <c r="E144" s="9">
        <f t="shared" si="16"/>
        <v>12.072734547931061</v>
      </c>
      <c r="F144" s="3">
        <f t="shared" si="17"/>
        <v>6.47314845343296E-2</v>
      </c>
      <c r="G144">
        <f t="shared" ca="1" si="18"/>
        <v>0</v>
      </c>
      <c r="H144" s="9">
        <f t="shared" ca="1" si="19"/>
        <v>0</v>
      </c>
      <c r="I144" s="12">
        <f t="shared" si="20"/>
        <v>1</v>
      </c>
      <c r="J144" s="30">
        <f t="shared" ca="1" si="21"/>
        <v>-12.072734547931061</v>
      </c>
      <c r="K144" s="45">
        <f t="shared" ca="1" si="22"/>
        <v>-4.2332016771273207</v>
      </c>
      <c r="L144" s="35">
        <f t="shared" si="23"/>
        <v>61.401432113200194</v>
      </c>
      <c r="O144">
        <v>125</v>
      </c>
      <c r="P144" s="9">
        <v>13802.006953925504</v>
      </c>
      <c r="Q144" s="26">
        <v>0.10012360939431397</v>
      </c>
    </row>
    <row r="145" spans="1:17" x14ac:dyDescent="0.3">
      <c r="A145">
        <v>1054</v>
      </c>
      <c r="B145" s="3">
        <v>2.7129259438412436</v>
      </c>
      <c r="C145" s="2">
        <v>56.509569875175025</v>
      </c>
      <c r="D145" s="1">
        <v>3.2262867429078299</v>
      </c>
      <c r="E145" s="9">
        <f t="shared" si="16"/>
        <v>14.127392468793756</v>
      </c>
      <c r="F145" s="3">
        <f t="shared" si="17"/>
        <v>6.4525734858156603E-2</v>
      </c>
      <c r="G145">
        <f t="shared" ca="1" si="18"/>
        <v>1</v>
      </c>
      <c r="H145" s="9">
        <f t="shared" ca="1" si="19"/>
        <v>25</v>
      </c>
      <c r="I145" s="12">
        <f t="shared" si="20"/>
        <v>1</v>
      </c>
      <c r="J145" s="30">
        <f t="shared" ca="1" si="21"/>
        <v>10.872607531206244</v>
      </c>
      <c r="K145" s="45">
        <f t="shared" ca="1" si="22"/>
        <v>4.0077052438120262</v>
      </c>
      <c r="L145" s="35">
        <f t="shared" si="23"/>
        <v>58.688506169358952</v>
      </c>
      <c r="O145">
        <v>126</v>
      </c>
      <c r="P145" s="9">
        <v>13402.006953925504</v>
      </c>
      <c r="Q145" s="26">
        <v>0.10086100861008609</v>
      </c>
    </row>
    <row r="146" spans="1:17" x14ac:dyDescent="0.3">
      <c r="A146">
        <v>316</v>
      </c>
      <c r="B146" s="3">
        <v>2.011601739968516</v>
      </c>
      <c r="C146" s="2">
        <v>93.756399584674966</v>
      </c>
      <c r="D146" s="1">
        <v>2.7048470919491958</v>
      </c>
      <c r="E146" s="9">
        <f t="shared" si="16"/>
        <v>23.439099896168742</v>
      </c>
      <c r="F146" s="3">
        <f t="shared" si="17"/>
        <v>5.409694183898392E-2</v>
      </c>
      <c r="G146">
        <f t="shared" ca="1" si="18"/>
        <v>2</v>
      </c>
      <c r="H146" s="9">
        <f t="shared" ca="1" si="19"/>
        <v>50</v>
      </c>
      <c r="I146" s="12">
        <f t="shared" si="20"/>
        <v>1</v>
      </c>
      <c r="J146" s="30">
        <f t="shared" ca="1" si="21"/>
        <v>26.560900103831258</v>
      </c>
      <c r="K146" s="45">
        <f t="shared" ca="1" si="22"/>
        <v>13.203856198815462</v>
      </c>
      <c r="L146" s="35">
        <f t="shared" si="23"/>
        <v>56.676904429390433</v>
      </c>
      <c r="O146">
        <v>127</v>
      </c>
      <c r="P146" s="9">
        <v>12977.006953925504</v>
      </c>
      <c r="Q146" s="26">
        <v>0.12073490813648294</v>
      </c>
    </row>
    <row r="147" spans="1:17" x14ac:dyDescent="0.3">
      <c r="A147">
        <v>1078</v>
      </c>
      <c r="B147" s="3">
        <v>3.2795894213496792</v>
      </c>
      <c r="C147" s="2">
        <v>29.479531781631064</v>
      </c>
      <c r="D147" s="1">
        <v>0.43123465675188305</v>
      </c>
      <c r="E147" s="9">
        <f t="shared" si="16"/>
        <v>7.3698829454077659</v>
      </c>
      <c r="F147" s="3">
        <f t="shared" si="17"/>
        <v>8.6246931350376609E-3</v>
      </c>
      <c r="G147">
        <f t="shared" ca="1" si="18"/>
        <v>1</v>
      </c>
      <c r="H147" s="9">
        <f t="shared" ca="1" si="19"/>
        <v>25</v>
      </c>
      <c r="I147" s="12">
        <f t="shared" si="20"/>
        <v>1</v>
      </c>
      <c r="J147" s="30">
        <f t="shared" ca="1" si="21"/>
        <v>17.630117054592233</v>
      </c>
      <c r="K147" s="45">
        <f t="shared" ca="1" si="22"/>
        <v>5.3757085993211771</v>
      </c>
      <c r="L147" s="35">
        <f t="shared" si="23"/>
        <v>53.397315008040756</v>
      </c>
      <c r="O147">
        <v>128</v>
      </c>
      <c r="P147" s="9">
        <v>13102.006953925504</v>
      </c>
      <c r="Q147" s="26">
        <v>0.10996119016817593</v>
      </c>
    </row>
    <row r="148" spans="1:17" x14ac:dyDescent="0.3">
      <c r="A148">
        <v>242</v>
      </c>
      <c r="B148" s="3">
        <v>5.4238176620396752</v>
      </c>
      <c r="C148" s="2">
        <v>18.315613271358334</v>
      </c>
      <c r="D148" s="1">
        <v>2.9440702566979753</v>
      </c>
      <c r="E148" s="9">
        <f t="shared" si="16"/>
        <v>4.5789033178395835</v>
      </c>
      <c r="F148" s="3">
        <f t="shared" si="17"/>
        <v>5.8881405133959508E-2</v>
      </c>
      <c r="G148">
        <f t="shared" ca="1" si="18"/>
        <v>4</v>
      </c>
      <c r="H148" s="9">
        <f t="shared" ca="1" si="19"/>
        <v>100</v>
      </c>
      <c r="I148" s="12">
        <f t="shared" si="20"/>
        <v>1</v>
      </c>
      <c r="J148" s="30">
        <f t="shared" ca="1" si="21"/>
        <v>95.42109668216041</v>
      </c>
      <c r="K148" s="45">
        <f t="shared" ca="1" si="22"/>
        <v>17.592976502509572</v>
      </c>
      <c r="L148" s="35">
        <f t="shared" si="23"/>
        <v>47.973497346001082</v>
      </c>
      <c r="O148">
        <v>129</v>
      </c>
      <c r="P148" s="9">
        <v>13902.006953925504</v>
      </c>
      <c r="Q148" s="26">
        <v>0.10353227771010962</v>
      </c>
    </row>
    <row r="149" spans="1:17" x14ac:dyDescent="0.3">
      <c r="A149">
        <v>555</v>
      </c>
      <c r="B149" s="3">
        <v>6.4576425653480527</v>
      </c>
      <c r="C149" s="2">
        <v>73.530343404511726</v>
      </c>
      <c r="D149" s="1">
        <v>2.9206955976643583</v>
      </c>
      <c r="E149" s="9">
        <f t="shared" si="16"/>
        <v>18.382585851127931</v>
      </c>
      <c r="F149" s="3">
        <f t="shared" si="17"/>
        <v>5.8413911953287163E-2</v>
      </c>
      <c r="G149">
        <f t="shared" ca="1" si="18"/>
        <v>4</v>
      </c>
      <c r="H149" s="9">
        <f t="shared" ca="1" si="19"/>
        <v>100</v>
      </c>
      <c r="I149" s="12">
        <f t="shared" si="20"/>
        <v>1</v>
      </c>
      <c r="J149" s="30">
        <f t="shared" ca="1" si="21"/>
        <v>81.617414148872072</v>
      </c>
      <c r="K149" s="45">
        <f t="shared" ca="1" si="22"/>
        <v>12.638886919327824</v>
      </c>
      <c r="L149" s="35">
        <f t="shared" si="23"/>
        <v>41.515854780653029</v>
      </c>
      <c r="O149">
        <v>130</v>
      </c>
      <c r="P149" s="9">
        <v>13627.006953925504</v>
      </c>
      <c r="Q149" s="26">
        <v>0.10617283950617284</v>
      </c>
    </row>
    <row r="150" spans="1:17" x14ac:dyDescent="0.3">
      <c r="A150">
        <v>906</v>
      </c>
      <c r="B150" s="3">
        <v>5.999727549320907</v>
      </c>
      <c r="C150" s="2">
        <v>3.5383758093638473</v>
      </c>
      <c r="D150" s="1">
        <v>1.5703156083848988</v>
      </c>
      <c r="E150" s="9">
        <f t="shared" si="16"/>
        <v>0.88459395234096183</v>
      </c>
      <c r="F150" s="3">
        <f t="shared" si="17"/>
        <v>3.1406312167697979E-2</v>
      </c>
      <c r="G150">
        <f t="shared" ca="1" si="18"/>
        <v>1</v>
      </c>
      <c r="H150" s="9">
        <f t="shared" ca="1" si="19"/>
        <v>25</v>
      </c>
      <c r="I150" s="12">
        <f t="shared" si="20"/>
        <v>1</v>
      </c>
      <c r="J150" s="30">
        <f t="shared" ca="1" si="21"/>
        <v>24.11540604765904</v>
      </c>
      <c r="K150" s="45">
        <f t="shared" ca="1" si="22"/>
        <v>4.01941685675187</v>
      </c>
      <c r="L150" s="35">
        <f t="shared" si="23"/>
        <v>35.516127231332121</v>
      </c>
      <c r="O150">
        <v>131</v>
      </c>
      <c r="P150" s="9">
        <v>12652.006953925504</v>
      </c>
      <c r="Q150" s="26">
        <v>0.11928934010152284</v>
      </c>
    </row>
    <row r="151" spans="1:17" x14ac:dyDescent="0.3">
      <c r="A151">
        <v>337</v>
      </c>
      <c r="B151" s="3">
        <v>3.0287516653143696</v>
      </c>
      <c r="C151" s="2">
        <v>50.921399039823434</v>
      </c>
      <c r="D151" s="1">
        <v>1.7223610485181227</v>
      </c>
      <c r="E151" s="9">
        <f t="shared" si="16"/>
        <v>12.730349759955859</v>
      </c>
      <c r="F151" s="3">
        <f t="shared" si="17"/>
        <v>3.4447220970362451E-2</v>
      </c>
      <c r="G151">
        <f t="shared" ca="1" si="18"/>
        <v>2</v>
      </c>
      <c r="H151" s="9">
        <f t="shared" ca="1" si="19"/>
        <v>50</v>
      </c>
      <c r="I151" s="12">
        <f t="shared" si="20"/>
        <v>1</v>
      </c>
      <c r="J151" s="30">
        <f t="shared" ca="1" si="21"/>
        <v>37.269650240044143</v>
      </c>
      <c r="K151" s="45">
        <f t="shared" ca="1" si="22"/>
        <v>12.30528427499048</v>
      </c>
      <c r="L151" s="35">
        <f t="shared" si="23"/>
        <v>32.487375566017754</v>
      </c>
      <c r="O151">
        <v>132</v>
      </c>
      <c r="P151" s="9">
        <v>14052.006953925504</v>
      </c>
      <c r="Q151" s="26">
        <v>9.1898428053204348E-2</v>
      </c>
    </row>
    <row r="152" spans="1:17" x14ac:dyDescent="0.3">
      <c r="A152">
        <v>567</v>
      </c>
      <c r="B152" s="3">
        <v>5.938837137752337</v>
      </c>
      <c r="C152" s="2">
        <v>7.9265671784590097</v>
      </c>
      <c r="D152" s="1">
        <v>2.6989977181773459</v>
      </c>
      <c r="E152" s="9">
        <f t="shared" si="16"/>
        <v>1.9816417946147524</v>
      </c>
      <c r="F152" s="3">
        <f t="shared" si="17"/>
        <v>5.3979954363546918E-2</v>
      </c>
      <c r="G152">
        <f t="shared" ca="1" si="18"/>
        <v>5</v>
      </c>
      <c r="H152" s="9">
        <f t="shared" ca="1" si="19"/>
        <v>125</v>
      </c>
      <c r="I152" s="12">
        <f t="shared" si="20"/>
        <v>1</v>
      </c>
      <c r="J152" s="30">
        <f t="shared" ca="1" si="21"/>
        <v>123.01835820538525</v>
      </c>
      <c r="K152" s="45">
        <f t="shared" ca="1" si="22"/>
        <v>20.714216495915533</v>
      </c>
      <c r="L152" s="35">
        <f t="shared" si="23"/>
        <v>26.548538428265417</v>
      </c>
      <c r="O152">
        <v>133</v>
      </c>
      <c r="P152" s="9">
        <v>13002.006953925504</v>
      </c>
      <c r="Q152" s="26">
        <v>0.10611735330836454</v>
      </c>
    </row>
    <row r="153" spans="1:17" x14ac:dyDescent="0.3">
      <c r="A153">
        <v>542</v>
      </c>
      <c r="B153" s="3">
        <v>1.6840524927386569</v>
      </c>
      <c r="C153" s="2">
        <v>17.542143370001906</v>
      </c>
      <c r="D153" s="1">
        <v>0.90554164351009092</v>
      </c>
      <c r="E153" s="9">
        <f t="shared" si="16"/>
        <v>4.3855358425004765</v>
      </c>
      <c r="F153" s="3">
        <f t="shared" si="17"/>
        <v>1.8110832870201817E-2</v>
      </c>
      <c r="G153">
        <f t="shared" ca="1" si="18"/>
        <v>0</v>
      </c>
      <c r="H153" s="9">
        <f t="shared" ca="1" si="19"/>
        <v>0</v>
      </c>
      <c r="I153" s="12">
        <f t="shared" si="20"/>
        <v>1</v>
      </c>
      <c r="J153" s="30">
        <f t="shared" ca="1" si="21"/>
        <v>-4.3855358425004765</v>
      </c>
      <c r="K153" s="45">
        <f t="shared" ca="1" si="22"/>
        <v>-2.6041562608114348</v>
      </c>
      <c r="L153" s="35">
        <f t="shared" si="23"/>
        <v>24.864485935526758</v>
      </c>
      <c r="O153">
        <v>134</v>
      </c>
      <c r="P153" s="9">
        <v>14227.006953925504</v>
      </c>
      <c r="Q153" s="26">
        <v>9.3858632676709158E-2</v>
      </c>
    </row>
    <row r="154" spans="1:17" x14ac:dyDescent="0.3">
      <c r="A154">
        <v>959</v>
      </c>
      <c r="B154" s="3">
        <v>7.985880696492023</v>
      </c>
      <c r="C154" s="2">
        <v>11.20943255343253</v>
      </c>
      <c r="D154" s="1">
        <v>3.2277762467118438</v>
      </c>
      <c r="E154" s="9">
        <f t="shared" si="16"/>
        <v>2.8023581383581324</v>
      </c>
      <c r="F154" s="3">
        <f t="shared" si="17"/>
        <v>6.4555524934236871E-2</v>
      </c>
      <c r="G154">
        <f t="shared" ca="1" si="18"/>
        <v>5</v>
      </c>
      <c r="H154" s="9">
        <f t="shared" ca="1" si="19"/>
        <v>125</v>
      </c>
      <c r="I154" s="12">
        <f t="shared" si="20"/>
        <v>1</v>
      </c>
      <c r="J154" s="30">
        <f t="shared" ca="1" si="21"/>
        <v>122.19764186164187</v>
      </c>
      <c r="K154" s="45">
        <f t="shared" ca="1" si="22"/>
        <v>15.301711421173612</v>
      </c>
      <c r="L154" s="35">
        <f t="shared" si="23"/>
        <v>16.878605239034734</v>
      </c>
      <c r="O154">
        <v>135</v>
      </c>
      <c r="P154" s="9">
        <v>13602.006953925504</v>
      </c>
      <c r="Q154" s="26">
        <v>0.10969387755102041</v>
      </c>
    </row>
    <row r="155" spans="1:17" x14ac:dyDescent="0.3">
      <c r="A155">
        <v>318</v>
      </c>
      <c r="B155" s="3">
        <v>3.3418678268241009</v>
      </c>
      <c r="C155" s="2">
        <v>38.06870759926759</v>
      </c>
      <c r="D155" s="1">
        <v>2.4494361745649509</v>
      </c>
      <c r="E155" s="9">
        <f t="shared" si="16"/>
        <v>9.5171768998168975</v>
      </c>
      <c r="F155" s="3">
        <f t="shared" si="17"/>
        <v>4.898872349129902E-2</v>
      </c>
      <c r="G155">
        <f t="shared" ca="1" si="18"/>
        <v>5</v>
      </c>
      <c r="H155" s="9">
        <f t="shared" ca="1" si="19"/>
        <v>125</v>
      </c>
      <c r="I155" s="12">
        <f t="shared" si="20"/>
        <v>1</v>
      </c>
      <c r="J155" s="30">
        <f t="shared" ca="1" si="21"/>
        <v>115.4828231001831</v>
      </c>
      <c r="K155" s="45">
        <f t="shared" ca="1" si="22"/>
        <v>34.556370594084996</v>
      </c>
      <c r="L155" s="35">
        <f t="shared" si="23"/>
        <v>13.536737412210632</v>
      </c>
      <c r="O155">
        <v>136</v>
      </c>
      <c r="P155" s="9">
        <v>12702.006953925504</v>
      </c>
      <c r="Q155" s="26">
        <v>0.12793733681462141</v>
      </c>
    </row>
    <row r="156" spans="1:17" x14ac:dyDescent="0.3">
      <c r="A156">
        <v>586</v>
      </c>
      <c r="B156" s="3">
        <v>1.794780770638037</v>
      </c>
      <c r="C156" s="2">
        <v>13.157144050897463</v>
      </c>
      <c r="D156" s="1">
        <v>1.0187402261997685</v>
      </c>
      <c r="E156" s="9">
        <f t="shared" si="16"/>
        <v>3.2892860127243657</v>
      </c>
      <c r="F156" s="3">
        <f t="shared" si="17"/>
        <v>2.0374804523995368E-2</v>
      </c>
      <c r="G156">
        <f t="shared" ca="1" si="18"/>
        <v>0</v>
      </c>
      <c r="H156" s="9">
        <f t="shared" ca="1" si="19"/>
        <v>0</v>
      </c>
      <c r="I156" s="12">
        <f t="shared" si="20"/>
        <v>1</v>
      </c>
      <c r="J156" s="30">
        <f t="shared" ca="1" si="21"/>
        <v>-3.2892860127243657</v>
      </c>
      <c r="K156" s="45">
        <f t="shared" ca="1" si="22"/>
        <v>-1.8326951494778041</v>
      </c>
      <c r="L156" s="35">
        <f t="shared" si="23"/>
        <v>11.741956641572596</v>
      </c>
      <c r="O156">
        <v>137</v>
      </c>
      <c r="P156" s="9">
        <v>13827.006953925504</v>
      </c>
      <c r="Q156" s="26">
        <v>8.6269744835965972E-2</v>
      </c>
    </row>
    <row r="157" spans="1:17" x14ac:dyDescent="0.3">
      <c r="A157">
        <v>1064</v>
      </c>
      <c r="B157" s="3">
        <v>1.4751298259820844</v>
      </c>
      <c r="C157" s="2">
        <v>30.095372029766708</v>
      </c>
      <c r="D157" s="1">
        <v>1.004126246666198</v>
      </c>
      <c r="E157" s="9">
        <f t="shared" si="16"/>
        <v>7.5238430074416769</v>
      </c>
      <c r="F157" s="3">
        <f t="shared" si="17"/>
        <v>2.0082524933323961E-2</v>
      </c>
      <c r="G157">
        <f t="shared" ca="1" si="18"/>
        <v>0</v>
      </c>
      <c r="H157" s="9">
        <f t="shared" ca="1" si="19"/>
        <v>0</v>
      </c>
      <c r="I157" s="12">
        <f t="shared" si="20"/>
        <v>1</v>
      </c>
      <c r="J157" s="30">
        <f t="shared" ca="1" si="21"/>
        <v>-7.5238430074416769</v>
      </c>
      <c r="K157" s="45">
        <f t="shared" ca="1" si="22"/>
        <v>-5.1004615830559814</v>
      </c>
      <c r="L157" s="35">
        <f t="shared" si="23"/>
        <v>10.266826815590512</v>
      </c>
      <c r="O157">
        <v>138</v>
      </c>
      <c r="P157" s="9">
        <v>12527.006953925504</v>
      </c>
      <c r="Q157" s="26">
        <v>0.11318242343541944</v>
      </c>
    </row>
    <row r="158" spans="1:17" x14ac:dyDescent="0.3">
      <c r="A158">
        <v>1104</v>
      </c>
      <c r="B158" s="3">
        <v>2.4110866230520589</v>
      </c>
      <c r="C158" s="2">
        <v>87.68549569993786</v>
      </c>
      <c r="D158" s="1">
        <v>1.2292350199888231</v>
      </c>
      <c r="E158" s="9">
        <f t="shared" si="16"/>
        <v>21.921373924984465</v>
      </c>
      <c r="F158" s="3">
        <f t="shared" si="17"/>
        <v>2.4584700399776463E-2</v>
      </c>
      <c r="G158">
        <f t="shared" ca="1" si="18"/>
        <v>1</v>
      </c>
      <c r="H158" s="9">
        <f t="shared" ca="1" si="19"/>
        <v>25</v>
      </c>
      <c r="I158" s="12">
        <f t="shared" si="20"/>
        <v>1</v>
      </c>
      <c r="J158" s="30">
        <f t="shared" ca="1" si="21"/>
        <v>3.078626075015535</v>
      </c>
      <c r="K158" s="45">
        <f t="shared" ca="1" si="22"/>
        <v>1.2768624924468601</v>
      </c>
      <c r="L158" s="35">
        <f t="shared" si="23"/>
        <v>7.8557401925384536</v>
      </c>
      <c r="O158">
        <v>139</v>
      </c>
      <c r="P158" s="9">
        <v>13877.006953925504</v>
      </c>
      <c r="Q158" s="26">
        <v>0.10748792270531402</v>
      </c>
    </row>
    <row r="159" spans="1:17" x14ac:dyDescent="0.3">
      <c r="A159">
        <v>147</v>
      </c>
      <c r="B159" s="3">
        <v>5.1786536735136863</v>
      </c>
      <c r="C159" s="2">
        <v>58.817699123914977</v>
      </c>
      <c r="D159" s="1">
        <v>3.1148294594265806</v>
      </c>
      <c r="E159" s="9">
        <f t="shared" si="16"/>
        <v>14.704424780978744</v>
      </c>
      <c r="F159" s="3">
        <f t="shared" si="17"/>
        <v>6.2296589188531613E-2</v>
      </c>
      <c r="G159">
        <f t="shared" ca="1" si="18"/>
        <v>4</v>
      </c>
      <c r="H159" s="9">
        <f t="shared" ca="1" si="19"/>
        <v>100</v>
      </c>
      <c r="I159" s="12">
        <f t="shared" si="20"/>
        <v>1</v>
      </c>
      <c r="J159" s="30">
        <f t="shared" ca="1" si="21"/>
        <v>85.295575219021259</v>
      </c>
      <c r="K159" s="45">
        <f t="shared" ca="1" si="22"/>
        <v>16.470608114859456</v>
      </c>
      <c r="L159" s="35">
        <f t="shared" si="23"/>
        <v>2.6770865190247672</v>
      </c>
      <c r="O159">
        <v>140</v>
      </c>
      <c r="P159" s="9">
        <v>13252.006953925504</v>
      </c>
      <c r="Q159" s="26">
        <v>0.11378002528445007</v>
      </c>
    </row>
    <row r="160" spans="1:17" x14ac:dyDescent="0.3">
      <c r="A160">
        <v>694</v>
      </c>
      <c r="B160" s="3">
        <v>4.4021299494481658</v>
      </c>
      <c r="C160" s="2">
        <v>0.77570718048357579</v>
      </c>
      <c r="D160" s="1">
        <v>1.2827961635220351</v>
      </c>
      <c r="E160" s="9">
        <f t="shared" si="16"/>
        <v>0.19392679512089395</v>
      </c>
      <c r="F160" s="3">
        <f t="shared" si="17"/>
        <v>2.5655923270440702E-2</v>
      </c>
      <c r="G160">
        <f t="shared" ca="1" si="18"/>
        <v>1</v>
      </c>
      <c r="H160" s="9">
        <f t="shared" ca="1" si="19"/>
        <v>25</v>
      </c>
      <c r="I160" s="12">
        <f t="shared" si="20"/>
        <v>0</v>
      </c>
      <c r="J160" s="30">
        <f t="shared" ca="1" si="21"/>
        <v>24.806073204879105</v>
      </c>
      <c r="K160" s="45">
        <f t="shared" ca="1" si="22"/>
        <v>5.6350161148670086</v>
      </c>
      <c r="L160" s="35">
        <f t="shared" si="23"/>
        <v>-1.7250434304233986</v>
      </c>
      <c r="O160">
        <v>141</v>
      </c>
      <c r="P160" s="9">
        <v>13127.006953925504</v>
      </c>
      <c r="Q160" s="26">
        <v>0.10858585858585859</v>
      </c>
    </row>
    <row r="161" spans="1:17" x14ac:dyDescent="0.3">
      <c r="A161">
        <v>955</v>
      </c>
      <c r="B161" s="3">
        <v>6.3337369649412389</v>
      </c>
      <c r="C161" s="2">
        <v>15.998953432707797</v>
      </c>
      <c r="D161" s="1">
        <v>2.9575779491830172</v>
      </c>
      <c r="E161" s="9">
        <f t="shared" si="16"/>
        <v>3.9997383581769492</v>
      </c>
      <c r="F161" s="3">
        <f t="shared" si="17"/>
        <v>5.9151558983660348E-2</v>
      </c>
      <c r="G161">
        <f t="shared" ca="1" si="18"/>
        <v>1</v>
      </c>
      <c r="H161" s="9">
        <f t="shared" ca="1" si="19"/>
        <v>25</v>
      </c>
      <c r="I161" s="12">
        <f t="shared" si="20"/>
        <v>0</v>
      </c>
      <c r="J161" s="30">
        <f t="shared" ca="1" si="21"/>
        <v>21.000261641823052</v>
      </c>
      <c r="K161" s="45">
        <f t="shared" ca="1" si="22"/>
        <v>3.3156194767898577</v>
      </c>
      <c r="L161" s="35">
        <f t="shared" si="23"/>
        <v>-8.0587803953646375</v>
      </c>
      <c r="O161">
        <v>142</v>
      </c>
      <c r="P161" s="9">
        <v>13677.006953925504</v>
      </c>
      <c r="Q161" s="26">
        <v>9.7170971709717099E-2</v>
      </c>
    </row>
    <row r="162" spans="1:17" x14ac:dyDescent="0.3">
      <c r="A162">
        <v>354</v>
      </c>
      <c r="B162" s="3">
        <v>3.7350968175536381</v>
      </c>
      <c r="C162" s="2">
        <v>33.933607047455794</v>
      </c>
      <c r="D162" s="1">
        <v>2.1386787954777438</v>
      </c>
      <c r="E162" s="9">
        <f t="shared" si="16"/>
        <v>8.4834017618639486</v>
      </c>
      <c r="F162" s="3">
        <f t="shared" si="17"/>
        <v>4.2773575909554877E-2</v>
      </c>
      <c r="G162">
        <f t="shared" ca="1" si="18"/>
        <v>2</v>
      </c>
      <c r="H162" s="9">
        <f t="shared" ca="1" si="19"/>
        <v>50</v>
      </c>
      <c r="I162" s="12">
        <f t="shared" si="20"/>
        <v>0</v>
      </c>
      <c r="J162" s="30">
        <f t="shared" ca="1" si="21"/>
        <v>41.516598238136055</v>
      </c>
      <c r="K162" s="45">
        <f t="shared" ca="1" si="22"/>
        <v>11.115266957210501</v>
      </c>
      <c r="L162" s="35">
        <f t="shared" si="23"/>
        <v>-11.793877212918275</v>
      </c>
      <c r="O162">
        <v>143</v>
      </c>
      <c r="P162" s="9">
        <v>12827.006953925504</v>
      </c>
      <c r="Q162" s="26">
        <v>0.11994784876140809</v>
      </c>
    </row>
    <row r="163" spans="1:17" x14ac:dyDescent="0.3">
      <c r="A163">
        <v>1014</v>
      </c>
      <c r="B163" s="3">
        <v>9.0506776562361004</v>
      </c>
      <c r="C163" s="2">
        <v>0.71198952660367354</v>
      </c>
      <c r="D163" s="1">
        <v>2.3017811631630205</v>
      </c>
      <c r="E163" s="9">
        <f t="shared" si="16"/>
        <v>0.17799738165091838</v>
      </c>
      <c r="F163" s="3">
        <f t="shared" si="17"/>
        <v>4.6035623263260411E-2</v>
      </c>
      <c r="G163">
        <f t="shared" ca="1" si="18"/>
        <v>4</v>
      </c>
      <c r="H163" s="9">
        <f t="shared" ca="1" si="19"/>
        <v>100</v>
      </c>
      <c r="I163" s="12">
        <f t="shared" si="20"/>
        <v>0</v>
      </c>
      <c r="J163" s="30">
        <f t="shared" ca="1" si="21"/>
        <v>99.822002618349075</v>
      </c>
      <c r="K163" s="45">
        <f t="shared" ca="1" si="22"/>
        <v>11.029229678682645</v>
      </c>
      <c r="L163" s="35">
        <f t="shared" si="23"/>
        <v>-20.844554869154376</v>
      </c>
      <c r="O163">
        <v>144</v>
      </c>
      <c r="P163" s="9">
        <v>12977.006953925504</v>
      </c>
      <c r="Q163" s="26">
        <v>0.11932555123216602</v>
      </c>
    </row>
    <row r="164" spans="1:17" x14ac:dyDescent="0.3">
      <c r="A164">
        <v>893</v>
      </c>
      <c r="B164" s="3">
        <v>1.8739554197004249</v>
      </c>
      <c r="C164" s="2">
        <v>18.219840589159787</v>
      </c>
      <c r="D164" s="1">
        <v>1.0252021496093406</v>
      </c>
      <c r="E164" s="9">
        <f t="shared" si="16"/>
        <v>4.5549601472899468</v>
      </c>
      <c r="F164" s="3">
        <f t="shared" si="17"/>
        <v>2.0504042992186812E-2</v>
      </c>
      <c r="G164">
        <f t="shared" ca="1" si="18"/>
        <v>2</v>
      </c>
      <c r="H164" s="9">
        <f t="shared" ca="1" si="19"/>
        <v>50</v>
      </c>
      <c r="I164" s="12">
        <f t="shared" si="20"/>
        <v>0</v>
      </c>
      <c r="J164" s="30">
        <f t="shared" ca="1" si="21"/>
        <v>45.445039852710053</v>
      </c>
      <c r="K164" s="45">
        <f t="shared" ca="1" si="22"/>
        <v>24.250864975205765</v>
      </c>
      <c r="L164" s="35">
        <f t="shared" si="23"/>
        <v>-22.718510288854802</v>
      </c>
      <c r="O164">
        <v>145</v>
      </c>
      <c r="P164" s="9">
        <v>13202.006953925504</v>
      </c>
      <c r="Q164" s="26">
        <v>9.8339719029374204E-2</v>
      </c>
    </row>
    <row r="165" spans="1:17" x14ac:dyDescent="0.3">
      <c r="A165">
        <v>1024</v>
      </c>
      <c r="B165" s="3">
        <v>2.2098162938863988</v>
      </c>
      <c r="C165" s="2">
        <v>4.4807275882456583</v>
      </c>
      <c r="D165" s="1">
        <v>0.62211634802503069</v>
      </c>
      <c r="E165" s="9">
        <f t="shared" si="16"/>
        <v>1.1201818970614146</v>
      </c>
      <c r="F165" s="3">
        <f t="shared" si="17"/>
        <v>1.2442326960500613E-2</v>
      </c>
      <c r="G165">
        <f t="shared" ca="1" si="18"/>
        <v>0</v>
      </c>
      <c r="H165" s="9">
        <f t="shared" ca="1" si="19"/>
        <v>0</v>
      </c>
      <c r="I165" s="12">
        <f t="shared" si="20"/>
        <v>0</v>
      </c>
      <c r="J165" s="30">
        <f t="shared" ca="1" si="21"/>
        <v>-1.1201818970614146</v>
      </c>
      <c r="K165" s="45">
        <f t="shared" ca="1" si="22"/>
        <v>-0.50691177368927498</v>
      </c>
      <c r="L165" s="35">
        <f t="shared" si="23"/>
        <v>-24.9283265827412</v>
      </c>
      <c r="O165">
        <v>146</v>
      </c>
      <c r="P165" s="9">
        <v>12477.006953925504</v>
      </c>
      <c r="Q165" s="26">
        <v>0.1111111111111111</v>
      </c>
    </row>
    <row r="166" spans="1:17" x14ac:dyDescent="0.3">
      <c r="A166">
        <v>869</v>
      </c>
      <c r="B166" s="3">
        <v>5.7529976006271921</v>
      </c>
      <c r="C166" s="2">
        <v>52.730306374635362</v>
      </c>
      <c r="D166" s="1">
        <v>2.93359037579265</v>
      </c>
      <c r="E166" s="9">
        <f t="shared" si="16"/>
        <v>13.18257659365884</v>
      </c>
      <c r="F166" s="3">
        <f t="shared" si="17"/>
        <v>5.8671807515852999E-2</v>
      </c>
      <c r="G166">
        <f t="shared" ca="1" si="18"/>
        <v>5</v>
      </c>
      <c r="H166" s="9">
        <f t="shared" ca="1" si="19"/>
        <v>125</v>
      </c>
      <c r="I166" s="12">
        <f t="shared" si="20"/>
        <v>0</v>
      </c>
      <c r="J166" s="30">
        <f t="shared" ca="1" si="21"/>
        <v>111.81742340634116</v>
      </c>
      <c r="K166" s="45">
        <f t="shared" ca="1" si="22"/>
        <v>19.436375811133804</v>
      </c>
      <c r="L166" s="35">
        <f t="shared" si="23"/>
        <v>-30.681324183368393</v>
      </c>
      <c r="O166">
        <v>147</v>
      </c>
      <c r="P166" s="9">
        <v>12677.006953925504</v>
      </c>
      <c r="Q166" s="26">
        <v>0.12449255751014884</v>
      </c>
    </row>
    <row r="167" spans="1:17" x14ac:dyDescent="0.3">
      <c r="A167">
        <v>1047</v>
      </c>
      <c r="B167" s="3">
        <v>9.4827929947116747</v>
      </c>
      <c r="C167" s="2">
        <v>92.764033188611648</v>
      </c>
      <c r="D167" s="1">
        <v>3.165594360793353</v>
      </c>
      <c r="E167" s="9">
        <f t="shared" si="16"/>
        <v>23.191008297152912</v>
      </c>
      <c r="F167" s="3">
        <f t="shared" si="17"/>
        <v>6.3311887215867058E-2</v>
      </c>
      <c r="G167">
        <f t="shared" ca="1" si="18"/>
        <v>1</v>
      </c>
      <c r="H167" s="9">
        <f t="shared" ca="1" si="19"/>
        <v>25</v>
      </c>
      <c r="I167" s="12">
        <f t="shared" si="20"/>
        <v>0</v>
      </c>
      <c r="J167" s="30">
        <f t="shared" ca="1" si="21"/>
        <v>1.8089917028470879</v>
      </c>
      <c r="K167" s="45">
        <f t="shared" ca="1" si="22"/>
        <v>0.19076570624877282</v>
      </c>
      <c r="L167" s="35">
        <f t="shared" si="23"/>
        <v>-40.164117178080069</v>
      </c>
      <c r="O167">
        <v>148</v>
      </c>
      <c r="P167" s="9">
        <v>13427.006953925504</v>
      </c>
      <c r="Q167" s="26">
        <v>0.10050251256281408</v>
      </c>
    </row>
    <row r="168" spans="1:17" x14ac:dyDescent="0.3">
      <c r="A168">
        <v>854</v>
      </c>
      <c r="B168" s="3">
        <v>2.943799591398677</v>
      </c>
      <c r="C168" s="2">
        <v>74.041542528679798</v>
      </c>
      <c r="D168" s="1">
        <v>0.79966642486193384</v>
      </c>
      <c r="E168" s="9">
        <f t="shared" si="16"/>
        <v>18.51038563216995</v>
      </c>
      <c r="F168" s="3">
        <f t="shared" si="17"/>
        <v>1.5993328497238678E-2</v>
      </c>
      <c r="G168">
        <f t="shared" ca="1" si="18"/>
        <v>1</v>
      </c>
      <c r="H168" s="9">
        <f t="shared" ca="1" si="19"/>
        <v>25</v>
      </c>
      <c r="I168" s="12">
        <f t="shared" si="20"/>
        <v>0</v>
      </c>
      <c r="J168" s="30">
        <f t="shared" ca="1" si="21"/>
        <v>6.4896143678300504</v>
      </c>
      <c r="K168" s="45">
        <f t="shared" ca="1" si="22"/>
        <v>2.2045027748463895</v>
      </c>
      <c r="L168" s="35">
        <f t="shared" si="23"/>
        <v>-43.107916769478749</v>
      </c>
      <c r="O168">
        <v>149</v>
      </c>
      <c r="P168" s="9">
        <v>13202.006953925504</v>
      </c>
      <c r="Q168" s="26">
        <v>0.12328767123287671</v>
      </c>
    </row>
    <row r="169" spans="1:17" x14ac:dyDescent="0.3">
      <c r="A169">
        <v>134</v>
      </c>
      <c r="B169" s="3">
        <v>6.9975812264727395</v>
      </c>
      <c r="C169" s="2">
        <v>3.799987325510723</v>
      </c>
      <c r="D169" s="1">
        <v>2.4756499971209083</v>
      </c>
      <c r="E169" s="9">
        <f t="shared" si="16"/>
        <v>0.94999683137768076</v>
      </c>
      <c r="F169" s="3">
        <f t="shared" si="17"/>
        <v>4.9512999942418166E-2</v>
      </c>
      <c r="G169">
        <f t="shared" ca="1" si="18"/>
        <v>1</v>
      </c>
      <c r="H169" s="9">
        <f t="shared" ca="1" si="19"/>
        <v>25</v>
      </c>
      <c r="I169" s="12">
        <f t="shared" si="20"/>
        <v>0</v>
      </c>
      <c r="J169" s="30">
        <f t="shared" ca="1" si="21"/>
        <v>24.050003168622318</v>
      </c>
      <c r="K169" s="45">
        <f t="shared" ca="1" si="22"/>
        <v>3.436902322425083</v>
      </c>
      <c r="L169" s="35">
        <f t="shared" si="23"/>
        <v>-50.105497995951488</v>
      </c>
      <c r="O169">
        <v>150</v>
      </c>
      <c r="P169" s="9">
        <v>13077.006953925504</v>
      </c>
      <c r="Q169" s="26">
        <v>0.11053315994798439</v>
      </c>
    </row>
    <row r="170" spans="1:17" x14ac:dyDescent="0.3">
      <c r="A170">
        <v>525</v>
      </c>
      <c r="B170" s="3">
        <v>9.5236409817562873</v>
      </c>
      <c r="C170" s="2">
        <v>97.275718833503845</v>
      </c>
      <c r="D170" s="1">
        <v>2.9864677906012709</v>
      </c>
      <c r="E170" s="9">
        <f t="shared" si="16"/>
        <v>24.318929708375961</v>
      </c>
      <c r="F170" s="3">
        <f t="shared" si="17"/>
        <v>5.9729355812025417E-2</v>
      </c>
      <c r="G170">
        <f t="shared" ca="1" si="18"/>
        <v>6</v>
      </c>
      <c r="H170" s="9">
        <f t="shared" ca="1" si="19"/>
        <v>150</v>
      </c>
      <c r="I170" s="12">
        <f t="shared" si="20"/>
        <v>0</v>
      </c>
      <c r="J170" s="30">
        <f t="shared" ca="1" si="21"/>
        <v>125.68107029162404</v>
      </c>
      <c r="K170" s="45">
        <f t="shared" ca="1" si="22"/>
        <v>13.196745922319172</v>
      </c>
      <c r="L170" s="35">
        <f t="shared" si="23"/>
        <v>-59.629138977707775</v>
      </c>
      <c r="O170">
        <v>151</v>
      </c>
      <c r="P170" s="9">
        <v>13177.006953925504</v>
      </c>
      <c r="Q170" s="26">
        <v>9.9750623441396513E-2</v>
      </c>
    </row>
    <row r="171" spans="1:17" x14ac:dyDescent="0.3">
      <c r="A171">
        <v>546</v>
      </c>
      <c r="B171" s="3">
        <v>7.7609436941717203</v>
      </c>
      <c r="C171" s="2">
        <v>74.093371923050739</v>
      </c>
      <c r="D171" s="1">
        <v>3.0392764260310083</v>
      </c>
      <c r="E171" s="9">
        <f t="shared" si="16"/>
        <v>18.523342980762685</v>
      </c>
      <c r="F171" s="3">
        <f t="shared" si="17"/>
        <v>6.078552852062017E-2</v>
      </c>
      <c r="G171">
        <f t="shared" ca="1" si="18"/>
        <v>1</v>
      </c>
      <c r="H171" s="9">
        <f t="shared" ca="1" si="19"/>
        <v>25</v>
      </c>
      <c r="I171" s="12">
        <f t="shared" si="20"/>
        <v>0</v>
      </c>
      <c r="J171" s="30">
        <f t="shared" ca="1" si="21"/>
        <v>6.4766570192373152</v>
      </c>
      <c r="K171" s="45">
        <f t="shared" ca="1" si="22"/>
        <v>0.83451926395254317</v>
      </c>
      <c r="L171" s="35">
        <f t="shared" si="23"/>
        <v>-67.390082671879497</v>
      </c>
      <c r="O171">
        <v>152</v>
      </c>
      <c r="P171" s="9">
        <v>13802.006953925504</v>
      </c>
      <c r="Q171" s="26">
        <v>0.10493827160493827</v>
      </c>
    </row>
    <row r="172" spans="1:17" x14ac:dyDescent="0.3">
      <c r="A172">
        <v>17</v>
      </c>
      <c r="B172" s="3">
        <v>5.4591373452836178</v>
      </c>
      <c r="C172" s="2">
        <v>72.344381620845084</v>
      </c>
      <c r="D172" s="1">
        <v>2.3769663359668649</v>
      </c>
      <c r="E172" s="9">
        <f t="shared" si="16"/>
        <v>18.086095405211271</v>
      </c>
      <c r="F172" s="3">
        <f t="shared" si="17"/>
        <v>4.7539326719337298E-2</v>
      </c>
      <c r="G172">
        <f t="shared" ca="1" si="18"/>
        <v>3</v>
      </c>
      <c r="H172" s="9">
        <f t="shared" ca="1" si="19"/>
        <v>75</v>
      </c>
      <c r="I172" s="12">
        <f t="shared" si="20"/>
        <v>0</v>
      </c>
      <c r="J172" s="30">
        <f t="shared" ca="1" si="21"/>
        <v>56.913904594788733</v>
      </c>
      <c r="K172" s="45">
        <f t="shared" ca="1" si="22"/>
        <v>10.425439221447522</v>
      </c>
      <c r="L172" s="35">
        <f t="shared" si="23"/>
        <v>-72.84922001716312</v>
      </c>
      <c r="O172">
        <v>153</v>
      </c>
      <c r="P172" s="9">
        <v>12927.006953925504</v>
      </c>
      <c r="Q172" s="26">
        <v>0.11473272490221642</v>
      </c>
    </row>
    <row r="173" spans="1:17" x14ac:dyDescent="0.3">
      <c r="A173">
        <v>616</v>
      </c>
      <c r="B173" s="3">
        <v>3.7358702912983857</v>
      </c>
      <c r="C173" s="2">
        <v>46.47471706167736</v>
      </c>
      <c r="D173" s="1">
        <v>1.9513982144958901</v>
      </c>
      <c r="E173" s="9">
        <f t="shared" si="16"/>
        <v>11.61867926541934</v>
      </c>
      <c r="F173" s="3">
        <f t="shared" si="17"/>
        <v>3.9027964289917803E-2</v>
      </c>
      <c r="G173">
        <f t="shared" ca="1" si="18"/>
        <v>3</v>
      </c>
      <c r="H173" s="9">
        <f t="shared" ca="1" si="19"/>
        <v>75</v>
      </c>
      <c r="I173" s="12">
        <f t="shared" si="20"/>
        <v>0</v>
      </c>
      <c r="J173" s="30">
        <f t="shared" ca="1" si="21"/>
        <v>63.381320734580662</v>
      </c>
      <c r="K173" s="45">
        <f t="shared" ca="1" si="22"/>
        <v>16.965610632202317</v>
      </c>
      <c r="L173" s="35">
        <f t="shared" si="23"/>
        <v>-76.585090308461503</v>
      </c>
      <c r="O173">
        <v>154</v>
      </c>
      <c r="P173" s="9">
        <v>13402.006953925504</v>
      </c>
      <c r="Q173" s="26">
        <v>9.9881093935790727E-2</v>
      </c>
    </row>
    <row r="174" spans="1:17" x14ac:dyDescent="0.3">
      <c r="A174">
        <v>807</v>
      </c>
      <c r="B174" s="3">
        <v>1.9039518524618415</v>
      </c>
      <c r="C174" s="2">
        <v>21.780731885231898</v>
      </c>
      <c r="D174" s="1">
        <v>1.0437236681307391</v>
      </c>
      <c r="E174" s="9">
        <f t="shared" si="16"/>
        <v>5.4451829713079745</v>
      </c>
      <c r="F174" s="3">
        <f t="shared" si="17"/>
        <v>2.0874473362614783E-2</v>
      </c>
      <c r="G174">
        <f t="shared" ca="1" si="18"/>
        <v>0</v>
      </c>
      <c r="H174" s="9">
        <f t="shared" ca="1" si="19"/>
        <v>0</v>
      </c>
      <c r="I174" s="12">
        <f t="shared" si="20"/>
        <v>0</v>
      </c>
      <c r="J174" s="30">
        <f t="shared" ca="1" si="21"/>
        <v>-5.4451829713079745</v>
      </c>
      <c r="K174" s="45">
        <f t="shared" ca="1" si="22"/>
        <v>-2.8599373268117376</v>
      </c>
      <c r="L174" s="35">
        <f t="shared" si="23"/>
        <v>-78.489042160923347</v>
      </c>
      <c r="O174">
        <v>155</v>
      </c>
      <c r="P174" s="9">
        <v>13877.006953925504</v>
      </c>
      <c r="Q174" s="26">
        <v>0.10071942446043165</v>
      </c>
    </row>
    <row r="175" spans="1:17" x14ac:dyDescent="0.3">
      <c r="A175">
        <v>834</v>
      </c>
      <c r="B175" s="3">
        <v>4.6737245424359468</v>
      </c>
      <c r="C175" s="2">
        <v>8.1269681121061144</v>
      </c>
      <c r="D175" s="1">
        <v>0.76860816520052244</v>
      </c>
      <c r="E175" s="9">
        <f t="shared" si="16"/>
        <v>2.0317420280265286</v>
      </c>
      <c r="F175" s="3">
        <f t="shared" si="17"/>
        <v>1.537216330401045E-2</v>
      </c>
      <c r="G175">
        <f t="shared" ca="1" si="18"/>
        <v>1</v>
      </c>
      <c r="H175" s="9">
        <f t="shared" ca="1" si="19"/>
        <v>25</v>
      </c>
      <c r="I175" s="12">
        <f t="shared" si="20"/>
        <v>0</v>
      </c>
      <c r="J175" s="30">
        <f t="shared" ca="1" si="21"/>
        <v>22.968257971973472</v>
      </c>
      <c r="K175" s="45">
        <f t="shared" ca="1" si="22"/>
        <v>4.9143371123884014</v>
      </c>
      <c r="L175" s="35">
        <f t="shared" si="23"/>
        <v>-83.162766703359296</v>
      </c>
      <c r="O175">
        <v>156</v>
      </c>
      <c r="P175" s="9">
        <v>13902.006953925504</v>
      </c>
      <c r="Q175" s="26">
        <v>9.7205346294046174E-2</v>
      </c>
    </row>
    <row r="176" spans="1:17" x14ac:dyDescent="0.3">
      <c r="A176">
        <v>1063</v>
      </c>
      <c r="B176" s="3">
        <v>2.7950238911642353</v>
      </c>
      <c r="C176" s="2">
        <v>85.746838630582275</v>
      </c>
      <c r="D176" s="1">
        <v>2.2679801553515504</v>
      </c>
      <c r="E176" s="9">
        <f t="shared" si="16"/>
        <v>21.436709657645569</v>
      </c>
      <c r="F176" s="3">
        <f t="shared" si="17"/>
        <v>4.5359603107031007E-2</v>
      </c>
      <c r="G176">
        <f t="shared" ca="1" si="18"/>
        <v>3</v>
      </c>
      <c r="H176" s="9">
        <f t="shared" ca="1" si="19"/>
        <v>75</v>
      </c>
      <c r="I176" s="12">
        <f t="shared" si="20"/>
        <v>0</v>
      </c>
      <c r="J176" s="30">
        <f t="shared" ca="1" si="21"/>
        <v>53.563290342354435</v>
      </c>
      <c r="K176" s="45">
        <f t="shared" ca="1" si="22"/>
        <v>19.163804113332016</v>
      </c>
      <c r="L176" s="35">
        <f t="shared" si="23"/>
        <v>-85.95779059452353</v>
      </c>
      <c r="O176">
        <v>157</v>
      </c>
      <c r="P176" s="9">
        <v>13677.006953925504</v>
      </c>
      <c r="Q176" s="26">
        <v>0.11700844390832328</v>
      </c>
    </row>
    <row r="177" spans="1:17" x14ac:dyDescent="0.3">
      <c r="A177">
        <v>1109</v>
      </c>
      <c r="B177" s="3">
        <v>7.3420481814718386</v>
      </c>
      <c r="C177" s="2">
        <v>0.8047632978806174</v>
      </c>
      <c r="D177" s="1">
        <v>2.5271032160928897</v>
      </c>
      <c r="E177" s="9">
        <f t="shared" si="16"/>
        <v>0.20119082447015435</v>
      </c>
      <c r="F177" s="3">
        <f t="shared" si="17"/>
        <v>5.0542064321857795E-2</v>
      </c>
      <c r="G177">
        <f t="shared" ca="1" si="18"/>
        <v>1</v>
      </c>
      <c r="H177" s="9">
        <f t="shared" ca="1" si="19"/>
        <v>25</v>
      </c>
      <c r="I177" s="12">
        <f t="shared" si="20"/>
        <v>0</v>
      </c>
      <c r="J177" s="30">
        <f t="shared" ca="1" si="21"/>
        <v>24.798809175529847</v>
      </c>
      <c r="K177" s="45">
        <f t="shared" ca="1" si="22"/>
        <v>3.3776418463326543</v>
      </c>
      <c r="L177" s="35">
        <f t="shared" si="23"/>
        <v>-93.299838775995369</v>
      </c>
      <c r="O177">
        <v>158</v>
      </c>
      <c r="P177" s="9">
        <v>12952.006953925504</v>
      </c>
      <c r="Q177" s="26">
        <v>0.1113892365456821</v>
      </c>
    </row>
    <row r="178" spans="1:17" x14ac:dyDescent="0.3">
      <c r="A178">
        <v>847</v>
      </c>
      <c r="B178" s="3">
        <v>4.3970957259501677</v>
      </c>
      <c r="C178" s="2">
        <v>24.6588101810292</v>
      </c>
      <c r="D178" s="1">
        <v>2.2621856969762439</v>
      </c>
      <c r="E178" s="9">
        <f t="shared" si="16"/>
        <v>6.1647025452572999</v>
      </c>
      <c r="F178" s="3">
        <f t="shared" si="17"/>
        <v>4.5243713939524879E-2</v>
      </c>
      <c r="G178">
        <f t="shared" ca="1" si="18"/>
        <v>1</v>
      </c>
      <c r="H178" s="9">
        <f t="shared" ca="1" si="19"/>
        <v>25</v>
      </c>
      <c r="I178" s="12">
        <f t="shared" si="20"/>
        <v>0</v>
      </c>
      <c r="J178" s="30">
        <f t="shared" ca="1" si="21"/>
        <v>18.835297454742701</v>
      </c>
      <c r="K178" s="45">
        <f t="shared" ca="1" si="22"/>
        <v>4.2835768490513324</v>
      </c>
      <c r="L178" s="35">
        <f t="shared" si="23"/>
        <v>-97.696934501945535</v>
      </c>
      <c r="O178">
        <v>159</v>
      </c>
      <c r="P178" s="9">
        <v>13077.006953925504</v>
      </c>
      <c r="Q178" s="26">
        <v>0.11877394636015326</v>
      </c>
    </row>
    <row r="179" spans="1:17" x14ac:dyDescent="0.3">
      <c r="A179">
        <v>910</v>
      </c>
      <c r="B179" s="3">
        <v>8.1000725738569574</v>
      </c>
      <c r="C179" s="2">
        <v>77.131087605238662</v>
      </c>
      <c r="D179" s="1">
        <v>3.0934027716713364</v>
      </c>
      <c r="E179" s="9">
        <f t="shared" si="16"/>
        <v>19.282771901309665</v>
      </c>
      <c r="F179" s="3">
        <f t="shared" si="17"/>
        <v>6.186805543342673E-2</v>
      </c>
      <c r="G179">
        <f t="shared" ca="1" si="18"/>
        <v>2</v>
      </c>
      <c r="H179" s="9">
        <f t="shared" ca="1" si="19"/>
        <v>50</v>
      </c>
      <c r="I179" s="12">
        <f t="shared" si="20"/>
        <v>0</v>
      </c>
      <c r="J179" s="30">
        <f t="shared" ca="1" si="21"/>
        <v>30.717228098690335</v>
      </c>
      <c r="K179" s="45">
        <f t="shared" ca="1" si="22"/>
        <v>3.7922164052986895</v>
      </c>
      <c r="L179" s="35">
        <f t="shared" si="23"/>
        <v>-105.7970070758025</v>
      </c>
      <c r="O179">
        <v>160</v>
      </c>
      <c r="P179" s="9">
        <v>12552.006953925504</v>
      </c>
      <c r="Q179" s="26">
        <v>0.12898936170212766</v>
      </c>
    </row>
    <row r="180" spans="1:17" x14ac:dyDescent="0.3">
      <c r="A180">
        <v>715</v>
      </c>
      <c r="B180" s="3">
        <v>3.2865315631582579</v>
      </c>
      <c r="C180" s="2">
        <v>70.207863196955302</v>
      </c>
      <c r="D180" s="1">
        <v>1.4070342538151359</v>
      </c>
      <c r="E180" s="9">
        <f t="shared" si="16"/>
        <v>17.551965799238825</v>
      </c>
      <c r="F180" s="3">
        <f t="shared" si="17"/>
        <v>2.814068507630272E-2</v>
      </c>
      <c r="G180">
        <f t="shared" ca="1" si="18"/>
        <v>1</v>
      </c>
      <c r="H180" s="9">
        <f t="shared" ca="1" si="19"/>
        <v>25</v>
      </c>
      <c r="I180" s="12">
        <f t="shared" si="20"/>
        <v>0</v>
      </c>
      <c r="J180" s="30">
        <f t="shared" ca="1" si="21"/>
        <v>7.4480342007611746</v>
      </c>
      <c r="K180" s="45">
        <f t="shared" ca="1" si="22"/>
        <v>2.266229323415911</v>
      </c>
      <c r="L180" s="35">
        <f t="shared" si="23"/>
        <v>-109.08353863896076</v>
      </c>
      <c r="O180">
        <v>161</v>
      </c>
      <c r="P180" s="9">
        <v>13427.006953925504</v>
      </c>
      <c r="Q180" s="26">
        <v>0.11538461538461539</v>
      </c>
    </row>
    <row r="181" spans="1:17" x14ac:dyDescent="0.3">
      <c r="A181">
        <v>480</v>
      </c>
      <c r="B181" s="3">
        <v>7.4880841886086351</v>
      </c>
      <c r="C181" s="2">
        <v>6.6127645590714597</v>
      </c>
      <c r="D181" s="1">
        <v>2.9927085828985591</v>
      </c>
      <c r="E181" s="9">
        <f t="shared" si="16"/>
        <v>1.6531911397678649</v>
      </c>
      <c r="F181" s="3">
        <f t="shared" si="17"/>
        <v>5.9854171657971182E-2</v>
      </c>
      <c r="G181">
        <f t="shared" ca="1" si="18"/>
        <v>3</v>
      </c>
      <c r="H181" s="9">
        <f t="shared" ca="1" si="19"/>
        <v>75</v>
      </c>
      <c r="I181" s="12">
        <f t="shared" si="20"/>
        <v>0</v>
      </c>
      <c r="J181" s="30">
        <f t="shared" ca="1" si="21"/>
        <v>73.34680886023213</v>
      </c>
      <c r="K181" s="45">
        <f t="shared" ca="1" si="22"/>
        <v>9.795136781690049</v>
      </c>
      <c r="L181" s="35">
        <f t="shared" si="23"/>
        <v>-116.5716228275694</v>
      </c>
      <c r="O181">
        <v>162</v>
      </c>
      <c r="P181" s="9">
        <v>13202.006953925504</v>
      </c>
      <c r="Q181" s="26">
        <v>0.10630407911001236</v>
      </c>
    </row>
    <row r="182" spans="1:17" x14ac:dyDescent="0.3">
      <c r="A182">
        <v>244</v>
      </c>
      <c r="B182" s="3">
        <v>7.5436734072691518</v>
      </c>
      <c r="C182" s="2">
        <v>8.1608320174484721</v>
      </c>
      <c r="D182" s="1">
        <v>2.479744844114252</v>
      </c>
      <c r="E182" s="9">
        <f t="shared" si="16"/>
        <v>2.040208004362118</v>
      </c>
      <c r="F182" s="3">
        <f t="shared" si="17"/>
        <v>4.9594896882285043E-2</v>
      </c>
      <c r="G182">
        <f t="shared" ca="1" si="18"/>
        <v>0</v>
      </c>
      <c r="H182" s="9">
        <f t="shared" ca="1" si="19"/>
        <v>0</v>
      </c>
      <c r="I182" s="12">
        <f t="shared" si="20"/>
        <v>0</v>
      </c>
      <c r="J182" s="30">
        <f t="shared" ca="1" si="21"/>
        <v>-2.040208004362118</v>
      </c>
      <c r="K182" s="45">
        <f t="shared" ca="1" si="22"/>
        <v>-0.27045285422830673</v>
      </c>
      <c r="L182" s="35">
        <f t="shared" si="23"/>
        <v>-124.11529623483855</v>
      </c>
      <c r="O182">
        <v>163</v>
      </c>
      <c r="P182" s="9">
        <v>14027.006953925504</v>
      </c>
      <c r="Q182" s="26">
        <v>0.109375</v>
      </c>
    </row>
    <row r="183" spans="1:17" x14ac:dyDescent="0.3">
      <c r="A183">
        <v>519</v>
      </c>
      <c r="B183" s="3">
        <v>1.7129214016216177</v>
      </c>
      <c r="C183" s="2">
        <v>34.069887001805455</v>
      </c>
      <c r="D183" s="1">
        <v>1.2210861738871173</v>
      </c>
      <c r="E183" s="9">
        <f t="shared" si="16"/>
        <v>8.5174717504513637</v>
      </c>
      <c r="F183" s="3">
        <f t="shared" si="17"/>
        <v>2.4421723477742345E-2</v>
      </c>
      <c r="G183">
        <f t="shared" ca="1" si="18"/>
        <v>1</v>
      </c>
      <c r="H183" s="9">
        <f t="shared" ca="1" si="19"/>
        <v>25</v>
      </c>
      <c r="I183" s="12">
        <f t="shared" si="20"/>
        <v>0</v>
      </c>
      <c r="J183" s="30">
        <f t="shared" ca="1" si="21"/>
        <v>16.482528249548636</v>
      </c>
      <c r="K183" s="45">
        <f t="shared" ca="1" si="22"/>
        <v>9.6224661761740347</v>
      </c>
      <c r="L183" s="35">
        <f t="shared" si="23"/>
        <v>-125.82821763646017</v>
      </c>
      <c r="O183">
        <v>164</v>
      </c>
      <c r="P183" s="9">
        <v>12802.006953925504</v>
      </c>
      <c r="Q183" s="26">
        <v>9.9526066350710901E-2</v>
      </c>
    </row>
    <row r="184" spans="1:17" x14ac:dyDescent="0.3">
      <c r="A184">
        <v>1008</v>
      </c>
      <c r="B184" s="3">
        <v>7.0951245721733178</v>
      </c>
      <c r="C184" s="2">
        <v>28.809419209094543</v>
      </c>
      <c r="D184" s="1">
        <v>2.8451114674449127</v>
      </c>
      <c r="E184" s="9">
        <f t="shared" si="16"/>
        <v>7.2023548022736357</v>
      </c>
      <c r="F184" s="3">
        <f t="shared" si="17"/>
        <v>5.6902229348898256E-2</v>
      </c>
      <c r="G184">
        <f t="shared" ca="1" si="18"/>
        <v>1</v>
      </c>
      <c r="H184" s="9">
        <f t="shared" ca="1" si="19"/>
        <v>25</v>
      </c>
      <c r="I184" s="12">
        <f t="shared" si="20"/>
        <v>0</v>
      </c>
      <c r="J184" s="30">
        <f t="shared" ca="1" si="21"/>
        <v>17.797645197726364</v>
      </c>
      <c r="K184" s="45">
        <f t="shared" ca="1" si="22"/>
        <v>2.5084330819965777</v>
      </c>
      <c r="L184" s="35">
        <f t="shared" si="23"/>
        <v>-132.92334220863347</v>
      </c>
      <c r="O184">
        <v>165</v>
      </c>
      <c r="P184" s="9">
        <v>13702.006953925504</v>
      </c>
      <c r="Q184" s="26">
        <v>0.10943396226415095</v>
      </c>
    </row>
    <row r="185" spans="1:17" x14ac:dyDescent="0.3">
      <c r="A185">
        <v>680</v>
      </c>
      <c r="B185" s="3">
        <v>1.4747400412709999</v>
      </c>
      <c r="C185" s="2">
        <v>44.543248033680769</v>
      </c>
      <c r="D185" s="1">
        <v>0.87520140195711849</v>
      </c>
      <c r="E185" s="9">
        <f t="shared" si="16"/>
        <v>11.135812008420192</v>
      </c>
      <c r="F185" s="3">
        <f t="shared" si="17"/>
        <v>1.7504028039142371E-2</v>
      </c>
      <c r="G185">
        <f t="shared" ca="1" si="18"/>
        <v>0</v>
      </c>
      <c r="H185" s="9">
        <f t="shared" ca="1" si="19"/>
        <v>0</v>
      </c>
      <c r="I185" s="12">
        <f t="shared" si="20"/>
        <v>0</v>
      </c>
      <c r="J185" s="30">
        <f t="shared" ca="1" si="21"/>
        <v>-11.135812008420192</v>
      </c>
      <c r="K185" s="45">
        <f t="shared" ca="1" si="22"/>
        <v>-7.5510338749755714</v>
      </c>
      <c r="L185" s="35">
        <f t="shared" si="23"/>
        <v>-134.39808224990446</v>
      </c>
      <c r="O185">
        <v>166</v>
      </c>
      <c r="P185" s="9">
        <v>13652.006953925504</v>
      </c>
      <c r="Q185" s="26">
        <v>0.10656753407682776</v>
      </c>
    </row>
    <row r="186" spans="1:17" x14ac:dyDescent="0.3">
      <c r="A186">
        <v>443</v>
      </c>
      <c r="B186" s="3">
        <v>3.1097485430567051</v>
      </c>
      <c r="C186" s="2">
        <v>83.767907589946688</v>
      </c>
      <c r="D186" s="1">
        <v>1.3413836926218059</v>
      </c>
      <c r="E186" s="9">
        <f t="shared" si="16"/>
        <v>20.941976897486672</v>
      </c>
      <c r="F186" s="3">
        <f t="shared" si="17"/>
        <v>2.6827673852436118E-2</v>
      </c>
      <c r="G186">
        <f t="shared" ca="1" si="18"/>
        <v>2</v>
      </c>
      <c r="H186" s="9">
        <f t="shared" ca="1" si="19"/>
        <v>50</v>
      </c>
      <c r="I186" s="12">
        <f t="shared" si="20"/>
        <v>0</v>
      </c>
      <c r="J186" s="30">
        <f t="shared" ca="1" si="21"/>
        <v>29.058023102513328</v>
      </c>
      <c r="K186" s="45">
        <f t="shared" ca="1" si="22"/>
        <v>9.3441713052306632</v>
      </c>
      <c r="L186" s="35">
        <f t="shared" si="23"/>
        <v>-137.50783079296116</v>
      </c>
      <c r="O186">
        <v>167</v>
      </c>
      <c r="P186" s="9">
        <v>12877.006953925504</v>
      </c>
      <c r="Q186" s="26">
        <v>0.10696517412935323</v>
      </c>
    </row>
    <row r="187" spans="1:17" x14ac:dyDescent="0.3">
      <c r="A187">
        <v>732</v>
      </c>
      <c r="B187" s="3">
        <v>7.9488399781019332</v>
      </c>
      <c r="C187" s="2">
        <v>5.0248851148491314</v>
      </c>
      <c r="D187" s="1">
        <v>2.8725405561718897</v>
      </c>
      <c r="E187" s="9">
        <f t="shared" si="16"/>
        <v>1.2562212787122828</v>
      </c>
      <c r="F187" s="3">
        <f t="shared" si="17"/>
        <v>5.7450811123437799E-2</v>
      </c>
      <c r="G187">
        <f t="shared" ca="1" si="18"/>
        <v>3</v>
      </c>
      <c r="H187" s="9">
        <f t="shared" ca="1" si="19"/>
        <v>75</v>
      </c>
      <c r="I187" s="12">
        <f t="shared" si="20"/>
        <v>0</v>
      </c>
      <c r="J187" s="30">
        <f t="shared" ca="1" si="21"/>
        <v>73.743778721287711</v>
      </c>
      <c r="K187" s="45">
        <f t="shared" ca="1" si="22"/>
        <v>9.2773007035545643</v>
      </c>
      <c r="L187" s="35">
        <f t="shared" si="23"/>
        <v>-145.4566707710631</v>
      </c>
      <c r="O187">
        <v>168</v>
      </c>
      <c r="P187" s="9">
        <v>14202.006953925504</v>
      </c>
      <c r="Q187" s="26">
        <v>0.10283687943262411</v>
      </c>
    </row>
    <row r="188" spans="1:17" x14ac:dyDescent="0.3">
      <c r="A188">
        <v>173</v>
      </c>
      <c r="B188" s="3">
        <v>4.7034226772276986</v>
      </c>
      <c r="C188" s="2">
        <v>25.74964019746432</v>
      </c>
      <c r="D188" s="1">
        <v>2.3417785265083708</v>
      </c>
      <c r="E188" s="9">
        <f t="shared" si="16"/>
        <v>6.43741004936608</v>
      </c>
      <c r="F188" s="3">
        <f t="shared" si="17"/>
        <v>4.6835570530167417E-2</v>
      </c>
      <c r="G188">
        <f t="shared" ca="1" si="18"/>
        <v>2</v>
      </c>
      <c r="H188" s="9">
        <f t="shared" ca="1" si="19"/>
        <v>50</v>
      </c>
      <c r="I188" s="12">
        <f t="shared" si="20"/>
        <v>0</v>
      </c>
      <c r="J188" s="30">
        <f t="shared" ca="1" si="21"/>
        <v>43.562589950633921</v>
      </c>
      <c r="K188" s="45">
        <f t="shared" ca="1" si="22"/>
        <v>9.2618913799834548</v>
      </c>
      <c r="L188" s="35">
        <f t="shared" si="23"/>
        <v>-150.16009344829081</v>
      </c>
      <c r="O188">
        <v>169</v>
      </c>
      <c r="P188" s="9">
        <v>13277.006953925504</v>
      </c>
      <c r="Q188" s="26">
        <v>0.1095890410958904</v>
      </c>
    </row>
    <row r="189" spans="1:17" x14ac:dyDescent="0.3">
      <c r="A189">
        <v>541</v>
      </c>
      <c r="B189" s="3">
        <v>3.6651210525922293</v>
      </c>
      <c r="C189" s="2">
        <v>64.855652215284636</v>
      </c>
      <c r="D189" s="1">
        <v>2.1701470340175435</v>
      </c>
      <c r="E189" s="9">
        <f t="shared" si="16"/>
        <v>16.213913053821159</v>
      </c>
      <c r="F189" s="3">
        <f t="shared" si="17"/>
        <v>4.3402940680350874E-2</v>
      </c>
      <c r="G189">
        <f t="shared" ca="1" si="18"/>
        <v>2</v>
      </c>
      <c r="H189" s="9">
        <f t="shared" ca="1" si="19"/>
        <v>50</v>
      </c>
      <c r="I189" s="12">
        <f t="shared" si="20"/>
        <v>0</v>
      </c>
      <c r="J189" s="30">
        <f t="shared" ca="1" si="21"/>
        <v>33.786086946178841</v>
      </c>
      <c r="K189" s="45">
        <f t="shared" ca="1" si="22"/>
        <v>9.2182731378771141</v>
      </c>
      <c r="L189" s="35">
        <f t="shared" si="23"/>
        <v>-153.82521450088305</v>
      </c>
      <c r="O189">
        <v>170</v>
      </c>
      <c r="P189" s="9">
        <v>12302.006953925504</v>
      </c>
      <c r="Q189" s="26">
        <v>0.1248339973439575</v>
      </c>
    </row>
    <row r="190" spans="1:17" x14ac:dyDescent="0.3">
      <c r="A190">
        <v>465</v>
      </c>
      <c r="B190" s="3">
        <v>3.0831343869225938</v>
      </c>
      <c r="C190" s="2">
        <v>86.805112219472846</v>
      </c>
      <c r="D190" s="1">
        <v>2.2485544267886968</v>
      </c>
      <c r="E190" s="9">
        <f t="shared" si="16"/>
        <v>21.701278054868212</v>
      </c>
      <c r="F190" s="3">
        <f t="shared" si="17"/>
        <v>4.4971088535773938E-2</v>
      </c>
      <c r="G190">
        <f t="shared" ca="1" si="18"/>
        <v>2</v>
      </c>
      <c r="H190" s="9">
        <f t="shared" ca="1" si="19"/>
        <v>50</v>
      </c>
      <c r="I190" s="12">
        <f t="shared" si="20"/>
        <v>0</v>
      </c>
      <c r="J190" s="30">
        <f t="shared" ca="1" si="21"/>
        <v>28.298721945131788</v>
      </c>
      <c r="K190" s="45">
        <f t="shared" ca="1" si="22"/>
        <v>9.1785561035430359</v>
      </c>
      <c r="L190" s="35">
        <f t="shared" si="23"/>
        <v>-156.90834888780563</v>
      </c>
      <c r="O190">
        <v>171</v>
      </c>
      <c r="P190" s="9">
        <v>13027.006953925504</v>
      </c>
      <c r="Q190" s="26">
        <v>0.12710765239948119</v>
      </c>
    </row>
    <row r="191" spans="1:17" x14ac:dyDescent="0.3">
      <c r="A191">
        <v>515</v>
      </c>
      <c r="B191" s="3">
        <v>1.240627503102999</v>
      </c>
      <c r="C191" s="2">
        <v>54.593837840536132</v>
      </c>
      <c r="D191" s="1">
        <v>1.0018793941922919</v>
      </c>
      <c r="E191" s="9">
        <f t="shared" si="16"/>
        <v>13.648459460134033</v>
      </c>
      <c r="F191" s="3">
        <f t="shared" si="17"/>
        <v>2.0037587883845839E-2</v>
      </c>
      <c r="G191">
        <f t="shared" ca="1" si="18"/>
        <v>3</v>
      </c>
      <c r="H191" s="9">
        <f t="shared" ca="1" si="19"/>
        <v>75</v>
      </c>
      <c r="I191" s="12">
        <f t="shared" si="20"/>
        <v>0</v>
      </c>
      <c r="J191" s="30">
        <f t="shared" ca="1" si="21"/>
        <v>61.351540539865965</v>
      </c>
      <c r="K191" s="45">
        <f t="shared" ca="1" si="22"/>
        <v>49.452023581950577</v>
      </c>
      <c r="L191" s="35">
        <f t="shared" si="23"/>
        <v>-158.14897639090862</v>
      </c>
      <c r="O191">
        <v>172</v>
      </c>
      <c r="P191" s="9">
        <v>13502.006953925504</v>
      </c>
      <c r="Q191" s="26">
        <v>0.11414392059553349</v>
      </c>
    </row>
    <row r="192" spans="1:17" x14ac:dyDescent="0.3">
      <c r="A192">
        <v>983</v>
      </c>
      <c r="B192" s="3">
        <v>8.4421409456160852</v>
      </c>
      <c r="C192" s="2">
        <v>3.7976003360098765</v>
      </c>
      <c r="D192" s="1">
        <v>1.3674349530210526</v>
      </c>
      <c r="E192" s="9">
        <f t="shared" si="16"/>
        <v>0.94940008400246911</v>
      </c>
      <c r="F192" s="3">
        <f t="shared" si="17"/>
        <v>2.7348699060421051E-2</v>
      </c>
      <c r="G192">
        <f t="shared" ca="1" si="18"/>
        <v>0</v>
      </c>
      <c r="H192" s="9">
        <f t="shared" ca="1" si="19"/>
        <v>0</v>
      </c>
      <c r="I192" s="12">
        <f t="shared" si="20"/>
        <v>0</v>
      </c>
      <c r="J192" s="30">
        <f t="shared" ca="1" si="21"/>
        <v>-0.94940008400246911</v>
      </c>
      <c r="K192" s="45">
        <f t="shared" ca="1" si="22"/>
        <v>-0.11245963436508159</v>
      </c>
      <c r="L192" s="35">
        <f t="shared" si="23"/>
        <v>-166.59111733652469</v>
      </c>
      <c r="O192">
        <v>173</v>
      </c>
      <c r="P192" s="9">
        <v>13002.006953925504</v>
      </c>
      <c r="Q192" s="26">
        <v>0.10948905109489052</v>
      </c>
    </row>
    <row r="193" spans="1:17" x14ac:dyDescent="0.3">
      <c r="A193">
        <v>189</v>
      </c>
      <c r="B193" s="3">
        <v>2.7549304722085735</v>
      </c>
      <c r="C193" s="2">
        <v>3.3564263002695105</v>
      </c>
      <c r="D193" s="1">
        <v>2.5770529539922049</v>
      </c>
      <c r="E193" s="9">
        <f t="shared" si="16"/>
        <v>0.83910657506737762</v>
      </c>
      <c r="F193" s="3">
        <f t="shared" si="17"/>
        <v>5.1541059079844097E-2</v>
      </c>
      <c r="G193">
        <f t="shared" ca="1" si="18"/>
        <v>2</v>
      </c>
      <c r="H193" s="9">
        <f t="shared" ca="1" si="19"/>
        <v>50</v>
      </c>
      <c r="I193" s="12">
        <f t="shared" si="20"/>
        <v>0</v>
      </c>
      <c r="J193" s="30">
        <f t="shared" ca="1" si="21"/>
        <v>49.160893424932624</v>
      </c>
      <c r="K193" s="45">
        <f t="shared" ca="1" si="22"/>
        <v>17.844694782994399</v>
      </c>
      <c r="L193" s="35">
        <f t="shared" si="23"/>
        <v>-169.34604780873326</v>
      </c>
      <c r="O193">
        <v>174</v>
      </c>
      <c r="P193" s="9">
        <v>13127.006953925504</v>
      </c>
      <c r="Q193" s="26">
        <v>0.11</v>
      </c>
    </row>
    <row r="194" spans="1:17" x14ac:dyDescent="0.3">
      <c r="A194">
        <v>416</v>
      </c>
      <c r="B194" s="3">
        <v>5.6878046898335022</v>
      </c>
      <c r="C194" s="2">
        <v>3.0848927959091998</v>
      </c>
      <c r="D194" s="1">
        <v>1.7300833981456418</v>
      </c>
      <c r="E194" s="9">
        <f t="shared" ref="E194:E257" si="24">0.25*C194</f>
        <v>0.77122319897729996</v>
      </c>
      <c r="F194" s="3">
        <f t="shared" ref="F194:F257" si="25">(1/50)*D194</f>
        <v>3.4601667962912835E-2</v>
      </c>
      <c r="G194">
        <f t="shared" ref="G194:G257" ca="1" si="26">_xlfn.BINOM.INV(50,F194,RAND())</f>
        <v>1</v>
      </c>
      <c r="H194" s="9">
        <f t="shared" ref="H194:H257" ca="1" si="27">G194*25</f>
        <v>25</v>
      </c>
      <c r="I194" s="12">
        <f t="shared" ref="I194:I257" si="28">IF(L194&gt;0,1,0)</f>
        <v>0</v>
      </c>
      <c r="J194" s="30">
        <f t="shared" ref="J194:J257" ca="1" si="29">H194-E194</f>
        <v>24.2287768010227</v>
      </c>
      <c r="K194" s="45">
        <f t="shared" ref="K194:K257" ca="1" si="30">J194/B194</f>
        <v>4.2597765082070609</v>
      </c>
      <c r="L194" s="35">
        <f t="shared" si="23"/>
        <v>-175.03385249856677</v>
      </c>
      <c r="O194">
        <v>175</v>
      </c>
      <c r="P194" s="9">
        <v>13152.006953925504</v>
      </c>
      <c r="Q194" s="26">
        <v>0.10776942355889724</v>
      </c>
    </row>
    <row r="195" spans="1:17" x14ac:dyDescent="0.3">
      <c r="A195">
        <v>1052</v>
      </c>
      <c r="B195" s="3">
        <v>2.307131021340326</v>
      </c>
      <c r="C195" s="2">
        <v>20.272411159752799</v>
      </c>
      <c r="D195" s="1">
        <v>1.5018708748733998</v>
      </c>
      <c r="E195" s="9">
        <f t="shared" si="24"/>
        <v>5.0681027899381998</v>
      </c>
      <c r="F195" s="3">
        <f t="shared" si="25"/>
        <v>3.0037417497467994E-2</v>
      </c>
      <c r="G195">
        <f t="shared" ca="1" si="26"/>
        <v>2</v>
      </c>
      <c r="H195" s="9">
        <f t="shared" ca="1" si="27"/>
        <v>50</v>
      </c>
      <c r="I195" s="12">
        <f t="shared" si="28"/>
        <v>0</v>
      </c>
      <c r="J195" s="30">
        <f t="shared" ca="1" si="29"/>
        <v>44.931897210061798</v>
      </c>
      <c r="K195" s="45">
        <f t="shared" ca="1" si="30"/>
        <v>19.475225634978738</v>
      </c>
      <c r="L195" s="35">
        <f t="shared" si="23"/>
        <v>-177.3409835199071</v>
      </c>
      <c r="O195">
        <v>176</v>
      </c>
      <c r="P195" s="9">
        <v>14052.006953925504</v>
      </c>
      <c r="Q195" s="26">
        <v>0.10576923076923077</v>
      </c>
    </row>
    <row r="196" spans="1:17" x14ac:dyDescent="0.3">
      <c r="A196">
        <v>225</v>
      </c>
      <c r="B196" s="3">
        <v>2.5037188976248204</v>
      </c>
      <c r="C196" s="2">
        <v>14.121779923858002</v>
      </c>
      <c r="D196" s="1">
        <v>2.0271704318826287</v>
      </c>
      <c r="E196" s="9">
        <f t="shared" si="24"/>
        <v>3.5304449809645004</v>
      </c>
      <c r="F196" s="3">
        <f t="shared" si="25"/>
        <v>4.0543408637652573E-2</v>
      </c>
      <c r="G196">
        <f t="shared" ca="1" si="26"/>
        <v>0</v>
      </c>
      <c r="H196" s="9">
        <f t="shared" ca="1" si="27"/>
        <v>0</v>
      </c>
      <c r="I196" s="12">
        <f t="shared" si="28"/>
        <v>0</v>
      </c>
      <c r="J196" s="30">
        <f t="shared" ca="1" si="29"/>
        <v>-3.5304449809645004</v>
      </c>
      <c r="K196" s="45">
        <f t="shared" ca="1" si="30"/>
        <v>-1.4100804145040782</v>
      </c>
      <c r="L196" s="35">
        <f t="shared" ref="L196:L259" si="31">L195-B196</f>
        <v>-179.84470241753192</v>
      </c>
      <c r="O196">
        <v>177</v>
      </c>
      <c r="P196" s="9">
        <v>13452.006953925504</v>
      </c>
      <c r="Q196" s="26">
        <v>0.11378002528445007</v>
      </c>
    </row>
    <row r="197" spans="1:17" x14ac:dyDescent="0.3">
      <c r="A197">
        <v>230</v>
      </c>
      <c r="B197" s="3">
        <v>2.6857950774990522</v>
      </c>
      <c r="C197" s="2">
        <v>8.7692103692377561</v>
      </c>
      <c r="D197" s="1">
        <v>0.79687076778770605</v>
      </c>
      <c r="E197" s="9">
        <f t="shared" si="24"/>
        <v>2.192302592309439</v>
      </c>
      <c r="F197" s="3">
        <f t="shared" si="25"/>
        <v>1.5937415355754121E-2</v>
      </c>
      <c r="G197">
        <f t="shared" ca="1" si="26"/>
        <v>0</v>
      </c>
      <c r="H197" s="9">
        <f t="shared" ca="1" si="27"/>
        <v>0</v>
      </c>
      <c r="I197" s="12">
        <f t="shared" si="28"/>
        <v>0</v>
      </c>
      <c r="J197" s="30">
        <f t="shared" ca="1" si="29"/>
        <v>-2.192302592309439</v>
      </c>
      <c r="K197" s="45">
        <f t="shared" ca="1" si="30"/>
        <v>-0.81625832539348409</v>
      </c>
      <c r="L197" s="35">
        <f t="shared" si="31"/>
        <v>-182.53049749503097</v>
      </c>
      <c r="O197">
        <v>178</v>
      </c>
      <c r="P197" s="9">
        <v>13277.006953925504</v>
      </c>
      <c r="Q197" s="26">
        <v>0.11015911872705018</v>
      </c>
    </row>
    <row r="198" spans="1:17" x14ac:dyDescent="0.3">
      <c r="A198">
        <v>753</v>
      </c>
      <c r="B198" s="3">
        <v>2.1333462381685466</v>
      </c>
      <c r="C198" s="2">
        <v>27.910409772967682</v>
      </c>
      <c r="D198" s="1">
        <v>1.707829097730285</v>
      </c>
      <c r="E198" s="9">
        <f t="shared" si="24"/>
        <v>6.9776024432419206</v>
      </c>
      <c r="F198" s="3">
        <f t="shared" si="25"/>
        <v>3.4156581954605698E-2</v>
      </c>
      <c r="G198">
        <f t="shared" ca="1" si="26"/>
        <v>3</v>
      </c>
      <c r="H198" s="9">
        <f t="shared" ca="1" si="27"/>
        <v>75</v>
      </c>
      <c r="I198" s="12">
        <f t="shared" si="28"/>
        <v>0</v>
      </c>
      <c r="J198" s="30">
        <f t="shared" ca="1" si="29"/>
        <v>68.022397556758079</v>
      </c>
      <c r="K198" s="45">
        <f t="shared" ca="1" si="30"/>
        <v>31.885305976002531</v>
      </c>
      <c r="L198" s="35">
        <f t="shared" si="31"/>
        <v>-184.66384373319951</v>
      </c>
      <c r="O198">
        <v>179</v>
      </c>
      <c r="P198" s="9">
        <v>13052.006953925504</v>
      </c>
      <c r="Q198" s="26">
        <v>0.11152882205513784</v>
      </c>
    </row>
    <row r="199" spans="1:17" x14ac:dyDescent="0.3">
      <c r="A199">
        <v>930</v>
      </c>
      <c r="B199" s="3">
        <v>2.7549304722085735</v>
      </c>
      <c r="C199" s="2">
        <v>7.4158770781698085</v>
      </c>
      <c r="D199" s="1">
        <v>2.1105652586560986</v>
      </c>
      <c r="E199" s="9">
        <f t="shared" si="24"/>
        <v>1.8539692695424521</v>
      </c>
      <c r="F199" s="3">
        <f t="shared" si="25"/>
        <v>4.2211305173121973E-2</v>
      </c>
      <c r="G199">
        <f t="shared" ca="1" si="26"/>
        <v>1</v>
      </c>
      <c r="H199" s="9">
        <f t="shared" ca="1" si="27"/>
        <v>25</v>
      </c>
      <c r="I199" s="12">
        <f t="shared" si="28"/>
        <v>0</v>
      </c>
      <c r="J199" s="30">
        <f t="shared" ca="1" si="29"/>
        <v>23.146030730457547</v>
      </c>
      <c r="K199" s="45">
        <f t="shared" ca="1" si="30"/>
        <v>8.4016750926936563</v>
      </c>
      <c r="L199" s="35">
        <f t="shared" si="31"/>
        <v>-187.41877420540808</v>
      </c>
      <c r="O199">
        <v>180</v>
      </c>
      <c r="P199" s="9">
        <v>14127.006953925504</v>
      </c>
      <c r="Q199" s="26">
        <v>0.10336538461538461</v>
      </c>
    </row>
    <row r="200" spans="1:17" x14ac:dyDescent="0.3">
      <c r="A200">
        <v>870</v>
      </c>
      <c r="B200" s="3">
        <v>2.8777593324401196</v>
      </c>
      <c r="C200" s="2">
        <v>4.1728791551684186</v>
      </c>
      <c r="D200" s="1">
        <v>1.9891607634022033</v>
      </c>
      <c r="E200" s="9">
        <f t="shared" si="24"/>
        <v>1.0432197887921046</v>
      </c>
      <c r="F200" s="3">
        <f t="shared" si="25"/>
        <v>3.9783215268044063E-2</v>
      </c>
      <c r="G200">
        <f t="shared" ca="1" si="26"/>
        <v>1</v>
      </c>
      <c r="H200" s="9">
        <f t="shared" ca="1" si="27"/>
        <v>25</v>
      </c>
      <c r="I200" s="12">
        <f t="shared" si="28"/>
        <v>0</v>
      </c>
      <c r="J200" s="30">
        <f t="shared" ca="1" si="29"/>
        <v>23.956780211207896</v>
      </c>
      <c r="K200" s="45">
        <f t="shared" ca="1" si="30"/>
        <v>8.324803238808153</v>
      </c>
      <c r="L200" s="35">
        <f t="shared" si="31"/>
        <v>-190.29653353784821</v>
      </c>
      <c r="O200">
        <v>181</v>
      </c>
      <c r="P200" s="9">
        <v>13327.006953925504</v>
      </c>
      <c r="Q200" s="26">
        <v>0.10759493670886076</v>
      </c>
    </row>
    <row r="201" spans="1:17" x14ac:dyDescent="0.3">
      <c r="A201">
        <v>16</v>
      </c>
      <c r="B201" s="3">
        <v>6.5402017461972184</v>
      </c>
      <c r="C201" s="2">
        <v>83.817511484980415</v>
      </c>
      <c r="D201" s="1">
        <v>2.9351670972363189</v>
      </c>
      <c r="E201" s="9">
        <f t="shared" si="24"/>
        <v>20.954377871245104</v>
      </c>
      <c r="F201" s="3">
        <f t="shared" si="25"/>
        <v>5.870334194472638E-2</v>
      </c>
      <c r="G201">
        <f t="shared" ca="1" si="26"/>
        <v>3</v>
      </c>
      <c r="H201" s="9">
        <f t="shared" ca="1" si="27"/>
        <v>75</v>
      </c>
      <c r="I201" s="12">
        <f t="shared" si="28"/>
        <v>0</v>
      </c>
      <c r="J201" s="30">
        <f t="shared" ca="1" si="29"/>
        <v>54.0456221287549</v>
      </c>
      <c r="K201" s="45">
        <f t="shared" ca="1" si="30"/>
        <v>8.2636016786759789</v>
      </c>
      <c r="L201" s="35">
        <f t="shared" si="31"/>
        <v>-196.83673528404543</v>
      </c>
      <c r="O201">
        <v>182</v>
      </c>
      <c r="P201" s="9">
        <v>13277.006953925504</v>
      </c>
      <c r="Q201" s="26">
        <v>0.10098522167487685</v>
      </c>
    </row>
    <row r="202" spans="1:17" x14ac:dyDescent="0.3">
      <c r="A202">
        <v>907</v>
      </c>
      <c r="B202" s="3">
        <v>2.703574087155304</v>
      </c>
      <c r="C202" s="2">
        <v>11.069155848639911</v>
      </c>
      <c r="D202" s="1">
        <v>3.1155854490368755</v>
      </c>
      <c r="E202" s="9">
        <f t="shared" si="24"/>
        <v>2.7672889621599777</v>
      </c>
      <c r="F202" s="3">
        <f t="shared" si="25"/>
        <v>6.2311708980737512E-2</v>
      </c>
      <c r="G202">
        <f t="shared" ca="1" si="26"/>
        <v>4</v>
      </c>
      <c r="H202" s="9">
        <f t="shared" ca="1" si="27"/>
        <v>100</v>
      </c>
      <c r="I202" s="12">
        <f t="shared" si="28"/>
        <v>0</v>
      </c>
      <c r="J202" s="30">
        <f t="shared" ca="1" si="29"/>
        <v>97.232711037840019</v>
      </c>
      <c r="K202" s="45">
        <f t="shared" ca="1" si="30"/>
        <v>35.964507686248801</v>
      </c>
      <c r="L202" s="35">
        <f t="shared" si="31"/>
        <v>-199.54030937120075</v>
      </c>
      <c r="O202">
        <v>183</v>
      </c>
      <c r="P202" s="9">
        <v>13077.006953925504</v>
      </c>
      <c r="Q202" s="26">
        <v>0.11234567901234568</v>
      </c>
    </row>
    <row r="203" spans="1:17" x14ac:dyDescent="0.3">
      <c r="A203">
        <v>684</v>
      </c>
      <c r="B203" s="3">
        <v>7.1141737071219975</v>
      </c>
      <c r="C203" s="2">
        <v>68.710833701690262</v>
      </c>
      <c r="D203" s="1">
        <v>3.0868650913824767</v>
      </c>
      <c r="E203" s="9">
        <f t="shared" si="24"/>
        <v>17.177708425422566</v>
      </c>
      <c r="F203" s="3">
        <f t="shared" si="25"/>
        <v>6.1737301827649534E-2</v>
      </c>
      <c r="G203">
        <f t="shared" ca="1" si="26"/>
        <v>2</v>
      </c>
      <c r="H203" s="9">
        <f t="shared" ca="1" si="27"/>
        <v>50</v>
      </c>
      <c r="I203" s="12">
        <f t="shared" si="28"/>
        <v>0</v>
      </c>
      <c r="J203" s="30">
        <f t="shared" ca="1" si="29"/>
        <v>32.822291574577434</v>
      </c>
      <c r="K203" s="45">
        <f t="shared" ca="1" si="30"/>
        <v>4.6136477580971977</v>
      </c>
      <c r="L203" s="35">
        <f t="shared" si="31"/>
        <v>-206.65448307832276</v>
      </c>
      <c r="O203">
        <v>184</v>
      </c>
      <c r="P203" s="9">
        <v>12827.006953925504</v>
      </c>
      <c r="Q203" s="26">
        <v>0.10406091370558376</v>
      </c>
    </row>
    <row r="204" spans="1:17" x14ac:dyDescent="0.3">
      <c r="A204">
        <v>1046</v>
      </c>
      <c r="B204" s="3">
        <v>9.1551259569421255</v>
      </c>
      <c r="C204" s="2">
        <v>3.8455360611957645</v>
      </c>
      <c r="D204" s="1">
        <v>2.8452920736537575</v>
      </c>
      <c r="E204" s="9">
        <f t="shared" si="24"/>
        <v>0.96138401529894113</v>
      </c>
      <c r="F204" s="3">
        <f t="shared" si="25"/>
        <v>5.6905841473075147E-2</v>
      </c>
      <c r="G204">
        <f t="shared" ca="1" si="26"/>
        <v>3</v>
      </c>
      <c r="H204" s="9">
        <f t="shared" ca="1" si="27"/>
        <v>75</v>
      </c>
      <c r="I204" s="12">
        <f t="shared" si="28"/>
        <v>0</v>
      </c>
      <c r="J204" s="30">
        <f t="shared" ca="1" si="29"/>
        <v>74.038615984701053</v>
      </c>
      <c r="K204" s="45">
        <f t="shared" ca="1" si="30"/>
        <v>8.0871215025238659</v>
      </c>
      <c r="L204" s="35">
        <f t="shared" si="31"/>
        <v>-215.80960903526488</v>
      </c>
      <c r="O204">
        <v>185</v>
      </c>
      <c r="P204" s="9">
        <v>14552.006953925504</v>
      </c>
      <c r="Q204" s="26">
        <v>7.9905992949471205E-2</v>
      </c>
    </row>
    <row r="205" spans="1:17" x14ac:dyDescent="0.3">
      <c r="A205">
        <v>175</v>
      </c>
      <c r="B205" s="3">
        <v>6.0934208127887102</v>
      </c>
      <c r="C205" s="2">
        <v>5.1068824849209165</v>
      </c>
      <c r="D205" s="1">
        <v>1.2705269871456333</v>
      </c>
      <c r="E205" s="9">
        <f t="shared" si="24"/>
        <v>1.2767206212302291</v>
      </c>
      <c r="F205" s="3">
        <f t="shared" si="25"/>
        <v>2.5410539742912665E-2</v>
      </c>
      <c r="G205">
        <f t="shared" ca="1" si="26"/>
        <v>2</v>
      </c>
      <c r="H205" s="9">
        <f t="shared" ca="1" si="27"/>
        <v>50</v>
      </c>
      <c r="I205" s="12">
        <f t="shared" si="28"/>
        <v>0</v>
      </c>
      <c r="J205" s="30">
        <f t="shared" ca="1" si="29"/>
        <v>48.723279378769774</v>
      </c>
      <c r="K205" s="45">
        <f t="shared" ca="1" si="30"/>
        <v>7.9960470277238436</v>
      </c>
      <c r="L205" s="35">
        <f t="shared" si="31"/>
        <v>-221.90302984805359</v>
      </c>
      <c r="O205">
        <v>186</v>
      </c>
      <c r="P205" s="9">
        <v>13027.006953925504</v>
      </c>
      <c r="Q205" s="26">
        <v>0.10075566750629723</v>
      </c>
    </row>
    <row r="206" spans="1:17" x14ac:dyDescent="0.3">
      <c r="A206">
        <v>788</v>
      </c>
      <c r="B206" s="3">
        <v>4.893131422273143</v>
      </c>
      <c r="C206" s="2">
        <v>43.657814025147538</v>
      </c>
      <c r="D206" s="1">
        <v>2.8002580147692711</v>
      </c>
      <c r="E206" s="9">
        <f t="shared" si="24"/>
        <v>10.914453506286884</v>
      </c>
      <c r="F206" s="3">
        <f t="shared" si="25"/>
        <v>5.6005160295385423E-2</v>
      </c>
      <c r="G206">
        <f t="shared" ca="1" si="26"/>
        <v>1</v>
      </c>
      <c r="H206" s="9">
        <f t="shared" ca="1" si="27"/>
        <v>25</v>
      </c>
      <c r="I206" s="12">
        <f t="shared" si="28"/>
        <v>0</v>
      </c>
      <c r="J206" s="30">
        <f t="shared" ca="1" si="29"/>
        <v>14.085546493713116</v>
      </c>
      <c r="K206" s="45">
        <f t="shared" ca="1" si="30"/>
        <v>2.8786364555010384</v>
      </c>
      <c r="L206" s="35">
        <f t="shared" si="31"/>
        <v>-226.79616127032673</v>
      </c>
      <c r="O206">
        <v>187</v>
      </c>
      <c r="P206" s="9">
        <v>12677.006953925504</v>
      </c>
      <c r="Q206" s="26">
        <v>0.1245136186770428</v>
      </c>
    </row>
    <row r="207" spans="1:17" x14ac:dyDescent="0.3">
      <c r="A207">
        <v>631</v>
      </c>
      <c r="B207" s="3">
        <v>9.4227545758652536</v>
      </c>
      <c r="C207" s="2">
        <v>0.40188261642927214</v>
      </c>
      <c r="D207" s="1">
        <v>2.0276600868965624</v>
      </c>
      <c r="E207" s="9">
        <f t="shared" si="24"/>
        <v>0.10047065410731804</v>
      </c>
      <c r="F207" s="3">
        <f t="shared" si="25"/>
        <v>4.0553201737931248E-2</v>
      </c>
      <c r="G207">
        <f t="shared" ca="1" si="26"/>
        <v>0</v>
      </c>
      <c r="H207" s="9">
        <f t="shared" ca="1" si="27"/>
        <v>0</v>
      </c>
      <c r="I207" s="12">
        <f t="shared" si="28"/>
        <v>0</v>
      </c>
      <c r="J207" s="30">
        <f t="shared" ca="1" si="29"/>
        <v>-0.10047065410731804</v>
      </c>
      <c r="K207" s="45">
        <f t="shared" ca="1" si="30"/>
        <v>-1.0662556612124457E-2</v>
      </c>
      <c r="L207" s="35">
        <f t="shared" si="31"/>
        <v>-236.21891584619198</v>
      </c>
      <c r="O207">
        <v>188</v>
      </c>
      <c r="P207" s="9">
        <v>14127.006953925504</v>
      </c>
      <c r="Q207" s="26">
        <v>9.7647058823529406E-2</v>
      </c>
    </row>
    <row r="208" spans="1:17" x14ac:dyDescent="0.3">
      <c r="A208">
        <v>1067</v>
      </c>
      <c r="B208" s="3">
        <v>1.4691299285864245</v>
      </c>
      <c r="C208" s="2">
        <v>53.878147348672492</v>
      </c>
      <c r="D208" s="1">
        <v>1.3437220959624536</v>
      </c>
      <c r="E208" s="9">
        <f t="shared" si="24"/>
        <v>13.469536837168123</v>
      </c>
      <c r="F208" s="3">
        <f t="shared" si="25"/>
        <v>2.6874441919249072E-2</v>
      </c>
      <c r="G208">
        <f t="shared" ca="1" si="26"/>
        <v>1</v>
      </c>
      <c r="H208" s="9">
        <f t="shared" ca="1" si="27"/>
        <v>25</v>
      </c>
      <c r="I208" s="12">
        <f t="shared" si="28"/>
        <v>0</v>
      </c>
      <c r="J208" s="30">
        <f t="shared" ca="1" si="29"/>
        <v>11.530463162831877</v>
      </c>
      <c r="K208" s="45">
        <f t="shared" ca="1" si="30"/>
        <v>7.848497902378397</v>
      </c>
      <c r="L208" s="35">
        <f t="shared" si="31"/>
        <v>-237.6880457747784</v>
      </c>
      <c r="O208">
        <v>189</v>
      </c>
      <c r="P208" s="9">
        <v>13202.006953925504</v>
      </c>
      <c r="Q208" s="26">
        <v>0.10473815461346633</v>
      </c>
    </row>
    <row r="209" spans="1:17" x14ac:dyDescent="0.3">
      <c r="A209">
        <v>789</v>
      </c>
      <c r="B209" s="3">
        <v>6.8997489776993319</v>
      </c>
      <c r="C209" s="2">
        <v>83.706402986583441</v>
      </c>
      <c r="D209" s="1">
        <v>2.9889930302416086</v>
      </c>
      <c r="E209" s="9">
        <f t="shared" si="24"/>
        <v>20.92660074664586</v>
      </c>
      <c r="F209" s="3">
        <f t="shared" si="25"/>
        <v>5.9779860604832175E-2</v>
      </c>
      <c r="G209">
        <f t="shared" ca="1" si="26"/>
        <v>1</v>
      </c>
      <c r="H209" s="9">
        <f t="shared" ca="1" si="27"/>
        <v>25</v>
      </c>
      <c r="I209" s="12">
        <f t="shared" si="28"/>
        <v>0</v>
      </c>
      <c r="J209" s="30">
        <f t="shared" ca="1" si="29"/>
        <v>4.0733992533541397</v>
      </c>
      <c r="K209" s="45">
        <f t="shared" ca="1" si="30"/>
        <v>0.59036919553447043</v>
      </c>
      <c r="L209" s="35">
        <f t="shared" si="31"/>
        <v>-244.58779475247775</v>
      </c>
      <c r="O209">
        <v>190</v>
      </c>
      <c r="P209" s="9">
        <v>14027.006953925504</v>
      </c>
      <c r="Q209" s="26">
        <v>9.6018735362997654E-2</v>
      </c>
    </row>
    <row r="210" spans="1:17" x14ac:dyDescent="0.3">
      <c r="A210">
        <v>383</v>
      </c>
      <c r="B210" s="3">
        <v>2.8777593324401196</v>
      </c>
      <c r="C210" s="2">
        <v>10.359098298260417</v>
      </c>
      <c r="D210" s="1">
        <v>2.406073449038022</v>
      </c>
      <c r="E210" s="9">
        <f t="shared" si="24"/>
        <v>2.5897745745651042</v>
      </c>
      <c r="F210" s="3">
        <f t="shared" si="25"/>
        <v>4.8121468980760439E-2</v>
      </c>
      <c r="G210">
        <f t="shared" ca="1" si="26"/>
        <v>2</v>
      </c>
      <c r="H210" s="9">
        <f t="shared" ca="1" si="27"/>
        <v>50</v>
      </c>
      <c r="I210" s="12">
        <f t="shared" si="28"/>
        <v>0</v>
      </c>
      <c r="J210" s="30">
        <f t="shared" ca="1" si="29"/>
        <v>47.410225425434895</v>
      </c>
      <c r="K210" s="45">
        <f t="shared" ca="1" si="30"/>
        <v>16.474701303543217</v>
      </c>
      <c r="L210" s="35">
        <f t="shared" si="31"/>
        <v>-247.46555408491787</v>
      </c>
      <c r="O210">
        <v>191</v>
      </c>
      <c r="P210" s="9">
        <v>12627.006953925504</v>
      </c>
      <c r="Q210" s="26">
        <v>0.12649800266311584</v>
      </c>
    </row>
    <row r="211" spans="1:17" x14ac:dyDescent="0.3">
      <c r="A211">
        <v>927</v>
      </c>
      <c r="B211" s="3">
        <v>4.2200021846494717</v>
      </c>
      <c r="C211" s="2">
        <v>69.703767010350845</v>
      </c>
      <c r="D211" s="1">
        <v>2.3944543900133528</v>
      </c>
      <c r="E211" s="9">
        <f t="shared" si="24"/>
        <v>17.425941752587711</v>
      </c>
      <c r="F211" s="3">
        <f t="shared" si="25"/>
        <v>4.7889087800267058E-2</v>
      </c>
      <c r="G211">
        <f t="shared" ca="1" si="26"/>
        <v>4</v>
      </c>
      <c r="H211" s="9">
        <f t="shared" ca="1" si="27"/>
        <v>100</v>
      </c>
      <c r="I211" s="12">
        <f t="shared" si="28"/>
        <v>0</v>
      </c>
      <c r="J211" s="30">
        <f t="shared" ca="1" si="29"/>
        <v>82.574058247412296</v>
      </c>
      <c r="K211" s="45">
        <f t="shared" ca="1" si="30"/>
        <v>19.567302251117482</v>
      </c>
      <c r="L211" s="35">
        <f t="shared" si="31"/>
        <v>-251.68555626956734</v>
      </c>
      <c r="O211">
        <v>192</v>
      </c>
      <c r="P211" s="9">
        <v>13427.006953925504</v>
      </c>
      <c r="Q211" s="26">
        <v>0.1048780487804878</v>
      </c>
    </row>
    <row r="212" spans="1:17" x14ac:dyDescent="0.3">
      <c r="A212">
        <v>61</v>
      </c>
      <c r="B212" s="3">
        <v>7.7609436941717203</v>
      </c>
      <c r="C212" s="2">
        <v>60.715820600474316</v>
      </c>
      <c r="D212" s="1">
        <v>2.8205863196360492</v>
      </c>
      <c r="E212" s="9">
        <f t="shared" si="24"/>
        <v>15.178955150118579</v>
      </c>
      <c r="F212" s="3">
        <f t="shared" si="25"/>
        <v>5.6411726392720983E-2</v>
      </c>
      <c r="G212">
        <f t="shared" ca="1" si="26"/>
        <v>2</v>
      </c>
      <c r="H212" s="9">
        <f t="shared" ca="1" si="27"/>
        <v>50</v>
      </c>
      <c r="I212" s="12">
        <f t="shared" si="28"/>
        <v>0</v>
      </c>
      <c r="J212" s="30">
        <f t="shared" ca="1" si="29"/>
        <v>34.821044849881417</v>
      </c>
      <c r="K212" s="45">
        <f t="shared" ca="1" si="30"/>
        <v>4.4867024194533425</v>
      </c>
      <c r="L212" s="35">
        <f t="shared" si="31"/>
        <v>-259.44649996373909</v>
      </c>
      <c r="O212">
        <v>193</v>
      </c>
      <c r="P212" s="9">
        <v>12577.006953925504</v>
      </c>
      <c r="Q212" s="26">
        <v>0.11471321695760599</v>
      </c>
    </row>
    <row r="213" spans="1:17" x14ac:dyDescent="0.3">
      <c r="A213">
        <v>137</v>
      </c>
      <c r="B213" s="3">
        <v>2.491868862856804</v>
      </c>
      <c r="C213" s="2">
        <v>25.62194565020318</v>
      </c>
      <c r="D213" s="1">
        <v>2.8262214267651853</v>
      </c>
      <c r="E213" s="9">
        <f t="shared" si="24"/>
        <v>6.4054864125507951</v>
      </c>
      <c r="F213" s="3">
        <f t="shared" si="25"/>
        <v>5.6524428535303706E-2</v>
      </c>
      <c r="G213">
        <f t="shared" ca="1" si="26"/>
        <v>3</v>
      </c>
      <c r="H213" s="9">
        <f t="shared" ca="1" si="27"/>
        <v>75</v>
      </c>
      <c r="I213" s="12">
        <f t="shared" si="28"/>
        <v>0</v>
      </c>
      <c r="J213" s="30">
        <f t="shared" ca="1" si="29"/>
        <v>68.5945135874492</v>
      </c>
      <c r="K213" s="45">
        <f t="shared" ca="1" si="30"/>
        <v>27.527336855443103</v>
      </c>
      <c r="L213" s="35">
        <f t="shared" si="31"/>
        <v>-261.93836882659588</v>
      </c>
      <c r="O213">
        <v>194</v>
      </c>
      <c r="P213" s="9">
        <v>12702.006953925504</v>
      </c>
      <c r="Q213" s="26">
        <v>0.11153358681875793</v>
      </c>
    </row>
    <row r="214" spans="1:17" x14ac:dyDescent="0.3">
      <c r="A214">
        <v>461</v>
      </c>
      <c r="B214" s="3">
        <v>9.8706430081565681</v>
      </c>
      <c r="C214" s="2">
        <v>6.5135063795158761</v>
      </c>
      <c r="D214" s="1">
        <v>2.3568961093450351</v>
      </c>
      <c r="E214" s="9">
        <f t="shared" si="24"/>
        <v>1.628376594878969</v>
      </c>
      <c r="F214" s="3">
        <f t="shared" si="25"/>
        <v>4.7137922186900702E-2</v>
      </c>
      <c r="G214">
        <f t="shared" ca="1" si="26"/>
        <v>2</v>
      </c>
      <c r="H214" s="9">
        <f t="shared" ca="1" si="27"/>
        <v>50</v>
      </c>
      <c r="I214" s="12">
        <f t="shared" si="28"/>
        <v>0</v>
      </c>
      <c r="J214" s="30">
        <f t="shared" ca="1" si="29"/>
        <v>48.371623405121028</v>
      </c>
      <c r="K214" s="45">
        <f t="shared" ca="1" si="30"/>
        <v>4.900554438565889</v>
      </c>
      <c r="L214" s="35">
        <f t="shared" si="31"/>
        <v>-271.80901183475243</v>
      </c>
      <c r="O214">
        <v>195</v>
      </c>
      <c r="P214" s="9">
        <v>12502.006953925504</v>
      </c>
      <c r="Q214" s="26">
        <v>0.11936339522546419</v>
      </c>
    </row>
    <row r="215" spans="1:17" x14ac:dyDescent="0.3">
      <c r="A215">
        <v>558</v>
      </c>
      <c r="B215" s="3">
        <v>4.2138978092078769</v>
      </c>
      <c r="C215" s="2">
        <v>75.38453761039554</v>
      </c>
      <c r="D215" s="1">
        <v>3.0708065986658539</v>
      </c>
      <c r="E215" s="9">
        <f t="shared" si="24"/>
        <v>18.846134402598885</v>
      </c>
      <c r="F215" s="3">
        <f t="shared" si="25"/>
        <v>6.1416131973317079E-2</v>
      </c>
      <c r="G215">
        <f t="shared" ca="1" si="26"/>
        <v>0</v>
      </c>
      <c r="H215" s="9">
        <f t="shared" ca="1" si="27"/>
        <v>0</v>
      </c>
      <c r="I215" s="12">
        <f t="shared" si="28"/>
        <v>0</v>
      </c>
      <c r="J215" s="30">
        <f t="shared" ca="1" si="29"/>
        <v>-18.846134402598885</v>
      </c>
      <c r="K215" s="45">
        <f t="shared" ca="1" si="30"/>
        <v>-4.4723757565781019</v>
      </c>
      <c r="L215" s="35">
        <f t="shared" si="31"/>
        <v>-276.0229096439603</v>
      </c>
      <c r="O215">
        <v>196</v>
      </c>
      <c r="P215" s="9">
        <v>14227.006953925504</v>
      </c>
      <c r="Q215" s="26">
        <v>0.10315533980582524</v>
      </c>
    </row>
    <row r="216" spans="1:17" x14ac:dyDescent="0.3">
      <c r="A216">
        <v>136</v>
      </c>
      <c r="B216" s="3">
        <v>3.3255229327175782</v>
      </c>
      <c r="C216" s="2">
        <v>2.524880477130953</v>
      </c>
      <c r="D216" s="1">
        <v>1.4373794322396951</v>
      </c>
      <c r="E216" s="9">
        <f t="shared" si="24"/>
        <v>0.63122011928273825</v>
      </c>
      <c r="F216" s="3">
        <f t="shared" si="25"/>
        <v>2.8747588644793903E-2</v>
      </c>
      <c r="G216">
        <f t="shared" ca="1" si="26"/>
        <v>1</v>
      </c>
      <c r="H216" s="9">
        <f t="shared" ca="1" si="27"/>
        <v>25</v>
      </c>
      <c r="I216" s="12">
        <f t="shared" si="28"/>
        <v>0</v>
      </c>
      <c r="J216" s="30">
        <f t="shared" ca="1" si="29"/>
        <v>24.368779880717263</v>
      </c>
      <c r="K216" s="45">
        <f t="shared" ca="1" si="30"/>
        <v>7.3278038894181927</v>
      </c>
      <c r="L216" s="35">
        <f t="shared" si="31"/>
        <v>-279.34843257667791</v>
      </c>
      <c r="O216">
        <v>197</v>
      </c>
      <c r="P216" s="9">
        <v>13202.006953925504</v>
      </c>
      <c r="Q216" s="26">
        <v>0.12276214833759591</v>
      </c>
    </row>
    <row r="217" spans="1:17" x14ac:dyDescent="0.3">
      <c r="A217">
        <v>14</v>
      </c>
      <c r="B217" s="3">
        <v>2.9214487533555857</v>
      </c>
      <c r="C217" s="2">
        <v>17.501380475592576</v>
      </c>
      <c r="D217" s="1">
        <v>0.38211002864978488</v>
      </c>
      <c r="E217" s="9">
        <f t="shared" si="24"/>
        <v>4.375345118898144</v>
      </c>
      <c r="F217" s="3">
        <f t="shared" si="25"/>
        <v>7.6422005729956978E-3</v>
      </c>
      <c r="G217">
        <f t="shared" ca="1" si="26"/>
        <v>1</v>
      </c>
      <c r="H217" s="9">
        <f t="shared" ca="1" si="27"/>
        <v>25</v>
      </c>
      <c r="I217" s="12">
        <f t="shared" si="28"/>
        <v>0</v>
      </c>
      <c r="J217" s="30">
        <f t="shared" ca="1" si="29"/>
        <v>20.624654881101854</v>
      </c>
      <c r="K217" s="45">
        <f t="shared" ca="1" si="30"/>
        <v>7.0597352965415903</v>
      </c>
      <c r="L217" s="35">
        <f t="shared" si="31"/>
        <v>-282.26988133003351</v>
      </c>
      <c r="O217">
        <v>198</v>
      </c>
      <c r="P217" s="9">
        <v>13977.006953925504</v>
      </c>
      <c r="Q217" s="26">
        <v>0.11083437110834371</v>
      </c>
    </row>
    <row r="218" spans="1:17" x14ac:dyDescent="0.3">
      <c r="A218">
        <v>645</v>
      </c>
      <c r="B218" s="3">
        <v>1.2972400220780678</v>
      </c>
      <c r="C218" s="2">
        <v>63.737304345284294</v>
      </c>
      <c r="D218" s="1">
        <v>1.6241973059225863</v>
      </c>
      <c r="E218" s="9">
        <f t="shared" si="24"/>
        <v>15.934326086321073</v>
      </c>
      <c r="F218" s="3">
        <f t="shared" si="25"/>
        <v>3.2483946118451727E-2</v>
      </c>
      <c r="G218">
        <f t="shared" ca="1" si="26"/>
        <v>1</v>
      </c>
      <c r="H218" s="9">
        <f t="shared" ca="1" si="27"/>
        <v>25</v>
      </c>
      <c r="I218" s="12">
        <f t="shared" si="28"/>
        <v>0</v>
      </c>
      <c r="J218" s="30">
        <f t="shared" ca="1" si="29"/>
        <v>9.0656739136789266</v>
      </c>
      <c r="K218" s="45">
        <f t="shared" ca="1" si="30"/>
        <v>6.9884321786160211</v>
      </c>
      <c r="L218" s="35">
        <f t="shared" si="31"/>
        <v>-283.5671213521116</v>
      </c>
      <c r="O218">
        <v>199</v>
      </c>
      <c r="P218" s="9">
        <v>14252.006953925504</v>
      </c>
      <c r="Q218" s="26">
        <v>0.1116564417177914</v>
      </c>
    </row>
    <row r="219" spans="1:17" x14ac:dyDescent="0.3">
      <c r="A219">
        <v>612</v>
      </c>
      <c r="B219" s="3">
        <v>2.9621946476247829</v>
      </c>
      <c r="C219" s="2">
        <v>24.241899694726765</v>
      </c>
      <c r="D219" s="1">
        <v>0.94691978123761955</v>
      </c>
      <c r="E219" s="9">
        <f t="shared" si="24"/>
        <v>6.0604749236816913</v>
      </c>
      <c r="F219" s="3">
        <f t="shared" si="25"/>
        <v>1.8938395624752392E-2</v>
      </c>
      <c r="G219">
        <f t="shared" ca="1" si="26"/>
        <v>1</v>
      </c>
      <c r="H219" s="9">
        <f t="shared" ca="1" si="27"/>
        <v>25</v>
      </c>
      <c r="I219" s="12">
        <f t="shared" si="28"/>
        <v>0</v>
      </c>
      <c r="J219" s="30">
        <f t="shared" ca="1" si="29"/>
        <v>18.939525076318308</v>
      </c>
      <c r="K219" s="45">
        <f t="shared" ca="1" si="30"/>
        <v>6.3937476531141684</v>
      </c>
      <c r="L219" s="35">
        <f t="shared" si="31"/>
        <v>-286.52931599973635</v>
      </c>
      <c r="O219">
        <v>200</v>
      </c>
      <c r="P219" s="9">
        <v>13452.006953925504</v>
      </c>
      <c r="Q219" s="26">
        <v>0.10278113663845223</v>
      </c>
    </row>
    <row r="220" spans="1:17" x14ac:dyDescent="0.3">
      <c r="A220">
        <v>971</v>
      </c>
      <c r="B220" s="3">
        <v>0.33898337185350957</v>
      </c>
      <c r="C220" s="2">
        <v>91.732859570614224</v>
      </c>
      <c r="D220" s="1">
        <v>0.64675650793850092</v>
      </c>
      <c r="E220" s="9">
        <f t="shared" si="24"/>
        <v>22.933214892653556</v>
      </c>
      <c r="F220" s="3">
        <f t="shared" si="25"/>
        <v>1.2935130158770019E-2</v>
      </c>
      <c r="G220">
        <f t="shared" ca="1" si="26"/>
        <v>1</v>
      </c>
      <c r="H220" s="9">
        <f t="shared" ca="1" si="27"/>
        <v>25</v>
      </c>
      <c r="I220" s="12">
        <f t="shared" si="28"/>
        <v>0</v>
      </c>
      <c r="J220" s="30">
        <f t="shared" ca="1" si="29"/>
        <v>2.0667851073464441</v>
      </c>
      <c r="K220" s="45">
        <f t="shared" ca="1" si="30"/>
        <v>6.0970102929992613</v>
      </c>
      <c r="L220" s="35">
        <f t="shared" si="31"/>
        <v>-286.86829937158984</v>
      </c>
      <c r="P220" s="9"/>
      <c r="Q220" s="26"/>
    </row>
    <row r="221" spans="1:17" x14ac:dyDescent="0.3">
      <c r="A221">
        <v>836</v>
      </c>
      <c r="B221" s="3">
        <v>8.2176486062281029</v>
      </c>
      <c r="C221" s="2">
        <v>0.17799302280316898</v>
      </c>
      <c r="D221" s="1">
        <v>1.7590900459121823</v>
      </c>
      <c r="E221" s="9">
        <f t="shared" si="24"/>
        <v>4.4498255700792244E-2</v>
      </c>
      <c r="F221" s="3">
        <f t="shared" si="25"/>
        <v>3.5181800918243647E-2</v>
      </c>
      <c r="G221">
        <f t="shared" ca="1" si="26"/>
        <v>4</v>
      </c>
      <c r="H221" s="9">
        <f t="shared" ca="1" si="27"/>
        <v>100</v>
      </c>
      <c r="I221" s="12">
        <f t="shared" si="28"/>
        <v>0</v>
      </c>
      <c r="J221" s="30">
        <f t="shared" ca="1" si="29"/>
        <v>99.955501744299212</v>
      </c>
      <c r="K221" s="45">
        <f t="shared" ca="1" si="30"/>
        <v>12.163516175240638</v>
      </c>
      <c r="L221" s="35">
        <f t="shared" si="31"/>
        <v>-295.08594797781797</v>
      </c>
      <c r="P221" s="9"/>
      <c r="Q221" s="26"/>
    </row>
    <row r="222" spans="1:17" x14ac:dyDescent="0.3">
      <c r="A222">
        <v>634</v>
      </c>
      <c r="B222" s="3">
        <v>3.2000780254935224</v>
      </c>
      <c r="C222" s="2">
        <v>22.920349102953708</v>
      </c>
      <c r="D222" s="1">
        <v>0.97187447180634146</v>
      </c>
      <c r="E222" s="9">
        <f t="shared" si="24"/>
        <v>5.7300872757384269</v>
      </c>
      <c r="F222" s="3">
        <f t="shared" si="25"/>
        <v>1.9437489436126828E-2</v>
      </c>
      <c r="G222">
        <f t="shared" ca="1" si="26"/>
        <v>0</v>
      </c>
      <c r="H222" s="9">
        <f t="shared" ca="1" si="27"/>
        <v>0</v>
      </c>
      <c r="I222" s="12">
        <f t="shared" si="28"/>
        <v>0</v>
      </c>
      <c r="J222" s="30">
        <f t="shared" ca="1" si="29"/>
        <v>-5.7300872757384269</v>
      </c>
      <c r="K222" s="45">
        <f t="shared" ca="1" si="30"/>
        <v>-1.790608613318021</v>
      </c>
      <c r="L222" s="35">
        <f t="shared" si="31"/>
        <v>-298.28602600331146</v>
      </c>
      <c r="P222" s="9"/>
      <c r="Q222" s="26"/>
    </row>
    <row r="223" spans="1:17" x14ac:dyDescent="0.3">
      <c r="A223">
        <v>384</v>
      </c>
      <c r="B223" s="3">
        <v>8.035151438118433</v>
      </c>
      <c r="C223" s="2">
        <v>7.6335889288701058</v>
      </c>
      <c r="D223" s="1">
        <v>1.6787814738012135</v>
      </c>
      <c r="E223" s="9">
        <f t="shared" si="24"/>
        <v>1.9083972322175264</v>
      </c>
      <c r="F223" s="3">
        <f t="shared" si="25"/>
        <v>3.3575629476024271E-2</v>
      </c>
      <c r="G223">
        <f t="shared" ca="1" si="26"/>
        <v>2</v>
      </c>
      <c r="H223" s="9">
        <f t="shared" ca="1" si="27"/>
        <v>50</v>
      </c>
      <c r="I223" s="12">
        <f t="shared" si="28"/>
        <v>0</v>
      </c>
      <c r="J223" s="30">
        <f t="shared" ca="1" si="29"/>
        <v>48.091602767782476</v>
      </c>
      <c r="K223" s="45">
        <f t="shared" ca="1" si="30"/>
        <v>5.9851520084161525</v>
      </c>
      <c r="L223" s="35">
        <f t="shared" si="31"/>
        <v>-306.32117744142988</v>
      </c>
      <c r="P223" s="9"/>
      <c r="Q223" s="26"/>
    </row>
    <row r="224" spans="1:17" x14ac:dyDescent="0.3">
      <c r="A224">
        <v>227</v>
      </c>
      <c r="B224" s="3">
        <v>2.3515062762857806</v>
      </c>
      <c r="C224" s="2">
        <v>44.381497892951174</v>
      </c>
      <c r="D224" s="1">
        <v>2.2611487206866423</v>
      </c>
      <c r="E224" s="9">
        <f t="shared" si="24"/>
        <v>11.095374473237793</v>
      </c>
      <c r="F224" s="3">
        <f t="shared" si="25"/>
        <v>4.5222974413732846E-2</v>
      </c>
      <c r="G224">
        <f t="shared" ca="1" si="26"/>
        <v>2</v>
      </c>
      <c r="H224" s="9">
        <f t="shared" ca="1" si="27"/>
        <v>50</v>
      </c>
      <c r="I224" s="12">
        <f t="shared" si="28"/>
        <v>0</v>
      </c>
      <c r="J224" s="30">
        <f t="shared" ca="1" si="29"/>
        <v>38.904625526762203</v>
      </c>
      <c r="K224" s="45">
        <f t="shared" ca="1" si="30"/>
        <v>16.544555257667572</v>
      </c>
      <c r="L224" s="35">
        <f t="shared" si="31"/>
        <v>-308.67268371771564</v>
      </c>
      <c r="P224" s="9"/>
      <c r="Q224" s="26"/>
    </row>
    <row r="225" spans="1:17" x14ac:dyDescent="0.3">
      <c r="A225">
        <v>813</v>
      </c>
      <c r="B225" s="3">
        <v>8.4164408858275017</v>
      </c>
      <c r="C225" s="2">
        <v>3.2269572748211961</v>
      </c>
      <c r="D225" s="1">
        <v>2.4441506331969185</v>
      </c>
      <c r="E225" s="9">
        <f t="shared" si="24"/>
        <v>0.80673931870529902</v>
      </c>
      <c r="F225" s="3">
        <f t="shared" si="25"/>
        <v>4.8883012663938373E-2</v>
      </c>
      <c r="G225">
        <f t="shared" ca="1" si="26"/>
        <v>4</v>
      </c>
      <c r="H225" s="9">
        <f t="shared" ca="1" si="27"/>
        <v>100</v>
      </c>
      <c r="I225" s="12">
        <f t="shared" si="28"/>
        <v>0</v>
      </c>
      <c r="J225" s="30">
        <f t="shared" ca="1" si="29"/>
        <v>99.193260681294703</v>
      </c>
      <c r="K225" s="45">
        <f t="shared" ca="1" si="30"/>
        <v>11.785654058157393</v>
      </c>
      <c r="L225" s="35">
        <f t="shared" si="31"/>
        <v>-317.08912460354315</v>
      </c>
      <c r="P225" s="9"/>
      <c r="Q225" s="26"/>
    </row>
    <row r="226" spans="1:17" x14ac:dyDescent="0.3">
      <c r="A226">
        <v>179</v>
      </c>
      <c r="B226" s="3">
        <v>2.7593413874763382</v>
      </c>
      <c r="C226" s="2">
        <v>37.717847015864102</v>
      </c>
      <c r="D226" s="1">
        <v>1.165261337888724</v>
      </c>
      <c r="E226" s="9">
        <f t="shared" si="24"/>
        <v>9.4294617539660255</v>
      </c>
      <c r="F226" s="3">
        <f t="shared" si="25"/>
        <v>2.330522675777448E-2</v>
      </c>
      <c r="G226">
        <f t="shared" ca="1" si="26"/>
        <v>3</v>
      </c>
      <c r="H226" s="9">
        <f t="shared" ca="1" si="27"/>
        <v>75</v>
      </c>
      <c r="I226" s="12">
        <f t="shared" si="28"/>
        <v>0</v>
      </c>
      <c r="J226" s="30">
        <f t="shared" ca="1" si="29"/>
        <v>65.570538246033976</v>
      </c>
      <c r="K226" s="45">
        <f t="shared" ca="1" si="30"/>
        <v>23.763111930852467</v>
      </c>
      <c r="L226" s="35">
        <f t="shared" si="31"/>
        <v>-319.84846599101951</v>
      </c>
      <c r="P226" s="9"/>
      <c r="Q226" s="26"/>
    </row>
    <row r="227" spans="1:17" x14ac:dyDescent="0.3">
      <c r="A227">
        <v>993</v>
      </c>
      <c r="B227" s="3">
        <v>1.5132776239129375</v>
      </c>
      <c r="C227" s="2">
        <v>66.625816347792181</v>
      </c>
      <c r="D227" s="1">
        <v>0.92813423667261141</v>
      </c>
      <c r="E227" s="9">
        <f t="shared" si="24"/>
        <v>16.656454086948045</v>
      </c>
      <c r="F227" s="3">
        <f t="shared" si="25"/>
        <v>1.8562684733452229E-2</v>
      </c>
      <c r="G227">
        <f t="shared" ca="1" si="26"/>
        <v>2</v>
      </c>
      <c r="H227" s="9">
        <f t="shared" ca="1" si="27"/>
        <v>50</v>
      </c>
      <c r="I227" s="12">
        <f t="shared" si="28"/>
        <v>0</v>
      </c>
      <c r="J227" s="30">
        <f t="shared" ca="1" si="29"/>
        <v>33.343545913051955</v>
      </c>
      <c r="K227" s="45">
        <f t="shared" ca="1" si="30"/>
        <v>22.033991242687065</v>
      </c>
      <c r="L227" s="35">
        <f t="shared" si="31"/>
        <v>-321.36174361493244</v>
      </c>
      <c r="P227" s="9"/>
      <c r="Q227" s="26"/>
    </row>
    <row r="228" spans="1:17" x14ac:dyDescent="0.3">
      <c r="A228">
        <v>241</v>
      </c>
      <c r="B228" s="3">
        <v>3.1448978560422081</v>
      </c>
      <c r="C228" s="2">
        <v>31.506527351296821</v>
      </c>
      <c r="D228" s="1">
        <v>3.2495302594645055</v>
      </c>
      <c r="E228" s="9">
        <f t="shared" si="24"/>
        <v>7.8766318378242053</v>
      </c>
      <c r="F228" s="3">
        <f t="shared" si="25"/>
        <v>6.4990605189290104E-2</v>
      </c>
      <c r="G228">
        <f t="shared" ca="1" si="26"/>
        <v>2</v>
      </c>
      <c r="H228" s="9">
        <f t="shared" ca="1" si="27"/>
        <v>50</v>
      </c>
      <c r="I228" s="12">
        <f t="shared" si="28"/>
        <v>0</v>
      </c>
      <c r="J228" s="30">
        <f t="shared" ca="1" si="29"/>
        <v>42.123368162175794</v>
      </c>
      <c r="K228" s="45">
        <f t="shared" ca="1" si="30"/>
        <v>13.394192781570089</v>
      </c>
      <c r="L228" s="35">
        <f t="shared" si="31"/>
        <v>-324.50664147097467</v>
      </c>
      <c r="P228" s="9"/>
      <c r="Q228" s="26"/>
    </row>
    <row r="229" spans="1:17" x14ac:dyDescent="0.3">
      <c r="A229">
        <v>41</v>
      </c>
      <c r="B229" s="3">
        <v>4.3288470126141601</v>
      </c>
      <c r="C229" s="2">
        <v>6.5469544163868303</v>
      </c>
      <c r="D229" s="1">
        <v>1.2478731961730476</v>
      </c>
      <c r="E229" s="9">
        <f t="shared" si="24"/>
        <v>1.6367386040967076</v>
      </c>
      <c r="F229" s="3">
        <f t="shared" si="25"/>
        <v>2.4957463923460953E-2</v>
      </c>
      <c r="G229">
        <f t="shared" ca="1" si="26"/>
        <v>1</v>
      </c>
      <c r="H229" s="9">
        <f t="shared" ca="1" si="27"/>
        <v>25</v>
      </c>
      <c r="I229" s="12">
        <f t="shared" si="28"/>
        <v>0</v>
      </c>
      <c r="J229" s="30">
        <f t="shared" ca="1" si="29"/>
        <v>23.363261395903294</v>
      </c>
      <c r="K229" s="45">
        <f t="shared" ca="1" si="30"/>
        <v>5.3971095138782426</v>
      </c>
      <c r="L229" s="35">
        <f t="shared" si="31"/>
        <v>-328.83548848358885</v>
      </c>
      <c r="P229" s="9"/>
      <c r="Q229" s="26"/>
    </row>
    <row r="230" spans="1:17" x14ac:dyDescent="0.3">
      <c r="A230">
        <v>528</v>
      </c>
      <c r="B230" s="3">
        <v>9.099825342945012</v>
      </c>
      <c r="C230" s="2">
        <v>4.6999173287881941</v>
      </c>
      <c r="D230" s="1">
        <v>2.9623447401465319</v>
      </c>
      <c r="E230" s="9">
        <f t="shared" si="24"/>
        <v>1.1749793321970485</v>
      </c>
      <c r="F230" s="3">
        <f t="shared" si="25"/>
        <v>5.924689480293064E-2</v>
      </c>
      <c r="G230">
        <f t="shared" ca="1" si="26"/>
        <v>4</v>
      </c>
      <c r="H230" s="9">
        <f t="shared" ca="1" si="27"/>
        <v>100</v>
      </c>
      <c r="I230" s="12">
        <f t="shared" si="28"/>
        <v>0</v>
      </c>
      <c r="J230" s="30">
        <f t="shared" ca="1" si="29"/>
        <v>98.825020667802946</v>
      </c>
      <c r="K230" s="45">
        <f t="shared" ca="1" si="30"/>
        <v>10.860100819893299</v>
      </c>
      <c r="L230" s="35">
        <f t="shared" si="31"/>
        <v>-337.93531382653384</v>
      </c>
      <c r="P230" s="9"/>
      <c r="Q230" s="26"/>
    </row>
    <row r="231" spans="1:17" x14ac:dyDescent="0.3">
      <c r="A231">
        <v>570</v>
      </c>
      <c r="B231" s="3">
        <v>4.641911641886189</v>
      </c>
      <c r="C231" s="2">
        <v>0.7361126155005504</v>
      </c>
      <c r="D231" s="1">
        <v>1.9311091598096972</v>
      </c>
      <c r="E231" s="9">
        <f t="shared" si="24"/>
        <v>0.1840281538751376</v>
      </c>
      <c r="F231" s="3">
        <f t="shared" si="25"/>
        <v>3.8622183196193947E-2</v>
      </c>
      <c r="G231">
        <f t="shared" ca="1" si="26"/>
        <v>4</v>
      </c>
      <c r="H231" s="9">
        <f t="shared" ca="1" si="27"/>
        <v>100</v>
      </c>
      <c r="I231" s="12">
        <f t="shared" si="28"/>
        <v>0</v>
      </c>
      <c r="J231" s="30">
        <f t="shared" ca="1" si="29"/>
        <v>99.815971846124867</v>
      </c>
      <c r="K231" s="45">
        <f t="shared" ca="1" si="30"/>
        <v>21.503203754556122</v>
      </c>
      <c r="L231" s="35">
        <f t="shared" si="31"/>
        <v>-342.57722546842001</v>
      </c>
      <c r="P231" s="9"/>
      <c r="Q231" s="26"/>
    </row>
    <row r="232" spans="1:17" x14ac:dyDescent="0.3">
      <c r="A232">
        <v>596</v>
      </c>
      <c r="B232" s="3">
        <v>5.4851922697947408</v>
      </c>
      <c r="C232" s="2">
        <v>82.744164611208475</v>
      </c>
      <c r="D232" s="1">
        <v>2.9737752109346953</v>
      </c>
      <c r="E232" s="9">
        <f t="shared" si="24"/>
        <v>20.686041152802119</v>
      </c>
      <c r="F232" s="3">
        <f t="shared" si="25"/>
        <v>5.9475504218693909E-2</v>
      </c>
      <c r="G232">
        <f t="shared" ca="1" si="26"/>
        <v>3</v>
      </c>
      <c r="H232" s="9">
        <f t="shared" ca="1" si="27"/>
        <v>75</v>
      </c>
      <c r="I232" s="12">
        <f t="shared" si="28"/>
        <v>0</v>
      </c>
      <c r="J232" s="30">
        <f t="shared" ca="1" si="29"/>
        <v>54.313958847197881</v>
      </c>
      <c r="K232" s="45">
        <f t="shared" ca="1" si="30"/>
        <v>9.9019243402438359</v>
      </c>
      <c r="L232" s="35">
        <f t="shared" si="31"/>
        <v>-348.06241773821478</v>
      </c>
      <c r="P232" s="9"/>
      <c r="Q232" s="26"/>
    </row>
    <row r="233" spans="1:17" x14ac:dyDescent="0.3">
      <c r="A233">
        <v>256</v>
      </c>
      <c r="B233" s="3">
        <v>2.7177912891118061</v>
      </c>
      <c r="C233" s="2">
        <v>43.42854429691252</v>
      </c>
      <c r="D233" s="1">
        <v>0.64014706509639674</v>
      </c>
      <c r="E233" s="9">
        <f t="shared" si="24"/>
        <v>10.85713607422813</v>
      </c>
      <c r="F233" s="3">
        <f t="shared" si="25"/>
        <v>1.2802941301927936E-2</v>
      </c>
      <c r="G233">
        <f t="shared" ca="1" si="26"/>
        <v>0</v>
      </c>
      <c r="H233" s="9">
        <f t="shared" ca="1" si="27"/>
        <v>0</v>
      </c>
      <c r="I233" s="12">
        <f t="shared" si="28"/>
        <v>0</v>
      </c>
      <c r="J233" s="30">
        <f t="shared" ca="1" si="29"/>
        <v>-10.85713607422813</v>
      </c>
      <c r="K233" s="45">
        <f t="shared" ca="1" si="30"/>
        <v>-3.9948380575523594</v>
      </c>
      <c r="L233" s="35">
        <f t="shared" si="31"/>
        <v>-350.78020902732658</v>
      </c>
      <c r="P233" s="9"/>
      <c r="Q233" s="26"/>
    </row>
    <row r="234" spans="1:17" x14ac:dyDescent="0.3">
      <c r="A234">
        <v>919</v>
      </c>
      <c r="B234" s="3">
        <v>7.3605457497480176</v>
      </c>
      <c r="C234" s="2">
        <v>48.588764596551712</v>
      </c>
      <c r="D234" s="1">
        <v>2.9955005190553985</v>
      </c>
      <c r="E234" s="9">
        <f t="shared" si="24"/>
        <v>12.147191149137928</v>
      </c>
      <c r="F234" s="3">
        <f t="shared" si="25"/>
        <v>5.9910010381107971E-2</v>
      </c>
      <c r="G234">
        <f t="shared" ca="1" si="26"/>
        <v>0</v>
      </c>
      <c r="H234" s="9">
        <f t="shared" ca="1" si="27"/>
        <v>0</v>
      </c>
      <c r="I234" s="12">
        <f t="shared" si="28"/>
        <v>0</v>
      </c>
      <c r="J234" s="30">
        <f t="shared" ca="1" si="29"/>
        <v>-12.147191149137928</v>
      </c>
      <c r="K234" s="45">
        <f t="shared" ca="1" si="30"/>
        <v>-1.6503112081809663</v>
      </c>
      <c r="L234" s="35">
        <f t="shared" si="31"/>
        <v>-358.14075477707462</v>
      </c>
      <c r="P234" s="9"/>
      <c r="Q234" s="26"/>
    </row>
    <row r="235" spans="1:17" x14ac:dyDescent="0.3">
      <c r="A235">
        <v>841</v>
      </c>
      <c r="B235" s="3">
        <v>9.5877300941731534</v>
      </c>
      <c r="C235" s="2">
        <v>5.5540555491838113</v>
      </c>
      <c r="D235" s="1">
        <v>2.8719824769025029</v>
      </c>
      <c r="E235" s="9">
        <f t="shared" si="24"/>
        <v>1.3885138872959528</v>
      </c>
      <c r="F235" s="3">
        <f t="shared" si="25"/>
        <v>5.7439649538050058E-2</v>
      </c>
      <c r="G235">
        <f t="shared" ca="1" si="26"/>
        <v>4</v>
      </c>
      <c r="H235" s="9">
        <f t="shared" ca="1" si="27"/>
        <v>100</v>
      </c>
      <c r="I235" s="12">
        <f t="shared" si="28"/>
        <v>0</v>
      </c>
      <c r="J235" s="30">
        <f t="shared" ca="1" si="29"/>
        <v>98.611486112704043</v>
      </c>
      <c r="K235" s="45">
        <f t="shared" ca="1" si="30"/>
        <v>10.285175442374435</v>
      </c>
      <c r="L235" s="35">
        <f t="shared" si="31"/>
        <v>-367.72848487124776</v>
      </c>
      <c r="P235" s="9"/>
      <c r="Q235" s="26"/>
    </row>
    <row r="236" spans="1:17" x14ac:dyDescent="0.3">
      <c r="A236">
        <v>301</v>
      </c>
      <c r="B236" s="3">
        <v>2.4905992248793387</v>
      </c>
      <c r="C236" s="2">
        <v>49.629883193599987</v>
      </c>
      <c r="D236" s="1">
        <v>0.58068498677882707</v>
      </c>
      <c r="E236" s="9">
        <f t="shared" si="24"/>
        <v>12.407470798399997</v>
      </c>
      <c r="F236" s="3">
        <f t="shared" si="25"/>
        <v>1.1613699735576542E-2</v>
      </c>
      <c r="G236">
        <f t="shared" ca="1" si="26"/>
        <v>0</v>
      </c>
      <c r="H236" s="9">
        <f t="shared" ca="1" si="27"/>
        <v>0</v>
      </c>
      <c r="I236" s="12">
        <f t="shared" si="28"/>
        <v>0</v>
      </c>
      <c r="J236" s="30">
        <f t="shared" ca="1" si="29"/>
        <v>-12.407470798399997</v>
      </c>
      <c r="K236" s="45">
        <f t="shared" ca="1" si="30"/>
        <v>-4.9817211354031068</v>
      </c>
      <c r="L236" s="35">
        <f t="shared" si="31"/>
        <v>-370.21908409612712</v>
      </c>
      <c r="P236" s="9"/>
      <c r="Q236" s="26"/>
    </row>
    <row r="237" spans="1:17" x14ac:dyDescent="0.3">
      <c r="A237">
        <v>926</v>
      </c>
      <c r="B237" s="3">
        <v>2.7713869129557747</v>
      </c>
      <c r="C237" s="2">
        <v>43.966042252461236</v>
      </c>
      <c r="D237" s="1">
        <v>2.0049965407962822</v>
      </c>
      <c r="E237" s="9">
        <f t="shared" si="24"/>
        <v>10.991510563115309</v>
      </c>
      <c r="F237" s="3">
        <f t="shared" si="25"/>
        <v>4.0099930815925645E-2</v>
      </c>
      <c r="G237">
        <f t="shared" ca="1" si="26"/>
        <v>4</v>
      </c>
      <c r="H237" s="9">
        <f t="shared" ca="1" si="27"/>
        <v>100</v>
      </c>
      <c r="I237" s="12">
        <f t="shared" si="28"/>
        <v>0</v>
      </c>
      <c r="J237" s="30">
        <f t="shared" ca="1" si="29"/>
        <v>89.008489436884688</v>
      </c>
      <c r="K237" s="45">
        <f t="shared" ca="1" si="30"/>
        <v>32.116948023671739</v>
      </c>
      <c r="L237" s="35">
        <f t="shared" si="31"/>
        <v>-372.99047100908291</v>
      </c>
      <c r="P237" s="9"/>
      <c r="Q237" s="26"/>
    </row>
    <row r="238" spans="1:17" x14ac:dyDescent="0.3">
      <c r="A238">
        <v>749</v>
      </c>
      <c r="B238" s="3">
        <v>9.2350666078819597</v>
      </c>
      <c r="C238" s="2">
        <v>13.692907235795282</v>
      </c>
      <c r="D238" s="1">
        <v>3.1088447550817278</v>
      </c>
      <c r="E238" s="9">
        <f t="shared" si="24"/>
        <v>3.4232268089488205</v>
      </c>
      <c r="F238" s="3">
        <f t="shared" si="25"/>
        <v>6.2176895101634558E-2</v>
      </c>
      <c r="G238">
        <f t="shared" ca="1" si="26"/>
        <v>5</v>
      </c>
      <c r="H238" s="9">
        <f t="shared" ca="1" si="27"/>
        <v>125</v>
      </c>
      <c r="I238" s="12">
        <f t="shared" si="28"/>
        <v>0</v>
      </c>
      <c r="J238" s="30">
        <f t="shared" ca="1" si="29"/>
        <v>121.57677319105117</v>
      </c>
      <c r="K238" s="45">
        <f t="shared" ca="1" si="30"/>
        <v>13.16468828576587</v>
      </c>
      <c r="L238" s="35">
        <f t="shared" si="31"/>
        <v>-382.22553761696486</v>
      </c>
      <c r="P238" s="9"/>
      <c r="Q238" s="26"/>
    </row>
    <row r="239" spans="1:17" x14ac:dyDescent="0.3">
      <c r="A239">
        <v>711</v>
      </c>
      <c r="B239" s="3">
        <v>9.8150844063647096</v>
      </c>
      <c r="C239" s="2">
        <v>2.1164708274342026</v>
      </c>
      <c r="D239" s="1">
        <v>2.3448280124609453</v>
      </c>
      <c r="E239" s="9">
        <f t="shared" si="24"/>
        <v>0.52911770685855064</v>
      </c>
      <c r="F239" s="3">
        <f t="shared" si="25"/>
        <v>4.6896560249218906E-2</v>
      </c>
      <c r="G239">
        <f t="shared" ca="1" si="26"/>
        <v>3</v>
      </c>
      <c r="H239" s="9">
        <f t="shared" ca="1" si="27"/>
        <v>75</v>
      </c>
      <c r="I239" s="12">
        <f t="shared" si="28"/>
        <v>0</v>
      </c>
      <c r="J239" s="30">
        <f t="shared" ca="1" si="29"/>
        <v>74.470882293141443</v>
      </c>
      <c r="K239" s="45">
        <f t="shared" ca="1" si="30"/>
        <v>7.5873909189053848</v>
      </c>
      <c r="L239" s="35">
        <f t="shared" si="31"/>
        <v>-392.04062202332955</v>
      </c>
      <c r="P239" s="9"/>
      <c r="Q239" s="26"/>
    </row>
    <row r="240" spans="1:17" x14ac:dyDescent="0.3">
      <c r="A240">
        <v>1085</v>
      </c>
      <c r="B240" s="3">
        <v>1.6363603919986169</v>
      </c>
      <c r="C240" s="2">
        <v>67.506713226574078</v>
      </c>
      <c r="D240" s="1">
        <v>1.3057810002077281</v>
      </c>
      <c r="E240" s="9">
        <f t="shared" si="24"/>
        <v>16.87667830664352</v>
      </c>
      <c r="F240" s="3">
        <f t="shared" si="25"/>
        <v>2.6115620004154565E-2</v>
      </c>
      <c r="G240">
        <f t="shared" ca="1" si="26"/>
        <v>1</v>
      </c>
      <c r="H240" s="9">
        <f t="shared" ca="1" si="27"/>
        <v>25</v>
      </c>
      <c r="I240" s="12">
        <f t="shared" si="28"/>
        <v>0</v>
      </c>
      <c r="J240" s="30">
        <f t="shared" ca="1" si="29"/>
        <v>8.1233216933564805</v>
      </c>
      <c r="K240" s="45">
        <f t="shared" ca="1" si="30"/>
        <v>4.9642619884210362</v>
      </c>
      <c r="L240" s="35">
        <f t="shared" si="31"/>
        <v>-393.67698241532815</v>
      </c>
      <c r="P240" s="9"/>
      <c r="Q240" s="26"/>
    </row>
    <row r="241" spans="1:17" x14ac:dyDescent="0.3">
      <c r="A241">
        <v>117</v>
      </c>
      <c r="B241" s="3">
        <v>9.9147964946269234</v>
      </c>
      <c r="C241" s="2">
        <v>3.5120389782008266</v>
      </c>
      <c r="D241" s="1">
        <v>0.93018048137586473</v>
      </c>
      <c r="E241" s="9">
        <f t="shared" si="24"/>
        <v>0.87800974455020664</v>
      </c>
      <c r="F241" s="3">
        <f t="shared" si="25"/>
        <v>1.8603609627517295E-2</v>
      </c>
      <c r="G241">
        <f t="shared" ca="1" si="26"/>
        <v>0</v>
      </c>
      <c r="H241" s="9">
        <f t="shared" ca="1" si="27"/>
        <v>0</v>
      </c>
      <c r="I241" s="12">
        <f t="shared" si="28"/>
        <v>0</v>
      </c>
      <c r="J241" s="30">
        <f t="shared" ca="1" si="29"/>
        <v>-0.87800974455020664</v>
      </c>
      <c r="K241" s="45">
        <f t="shared" ca="1" si="30"/>
        <v>-8.8555498342908212E-2</v>
      </c>
      <c r="L241" s="35">
        <f t="shared" si="31"/>
        <v>-403.59177890995505</v>
      </c>
      <c r="P241" s="9"/>
      <c r="Q241" s="26"/>
    </row>
    <row r="242" spans="1:17" x14ac:dyDescent="0.3">
      <c r="A242">
        <v>569</v>
      </c>
      <c r="B242" s="3">
        <v>3.6644565432183054</v>
      </c>
      <c r="C242" s="2">
        <v>28.536053126350748</v>
      </c>
      <c r="D242" s="1">
        <v>2.2018557237066427</v>
      </c>
      <c r="E242" s="9">
        <f t="shared" si="24"/>
        <v>7.1340132815876869</v>
      </c>
      <c r="F242" s="3">
        <f t="shared" si="25"/>
        <v>4.4037114474132853E-2</v>
      </c>
      <c r="G242">
        <f t="shared" ca="1" si="26"/>
        <v>2</v>
      </c>
      <c r="H242" s="9">
        <f t="shared" ca="1" si="27"/>
        <v>50</v>
      </c>
      <c r="I242" s="12">
        <f t="shared" si="28"/>
        <v>0</v>
      </c>
      <c r="J242" s="30">
        <f t="shared" ca="1" si="29"/>
        <v>42.865986718412316</v>
      </c>
      <c r="K242" s="45">
        <f t="shared" ca="1" si="30"/>
        <v>11.697774612102592</v>
      </c>
      <c r="L242" s="35">
        <f t="shared" si="31"/>
        <v>-407.25623545317336</v>
      </c>
      <c r="P242" s="9"/>
      <c r="Q242" s="26"/>
    </row>
    <row r="243" spans="1:17" x14ac:dyDescent="0.3">
      <c r="A243">
        <v>952</v>
      </c>
      <c r="B243" s="3">
        <v>3.7788579468200965</v>
      </c>
      <c r="C243" s="2">
        <v>26.46333335858516</v>
      </c>
      <c r="D243" s="1">
        <v>2.8951123276092172</v>
      </c>
      <c r="E243" s="9">
        <f t="shared" si="24"/>
        <v>6.6158333396462901</v>
      </c>
      <c r="F243" s="3">
        <f t="shared" si="25"/>
        <v>5.7902246552184344E-2</v>
      </c>
      <c r="G243">
        <f t="shared" ca="1" si="26"/>
        <v>7</v>
      </c>
      <c r="H243" s="9">
        <f t="shared" ca="1" si="27"/>
        <v>175</v>
      </c>
      <c r="I243" s="12">
        <f t="shared" si="28"/>
        <v>0</v>
      </c>
      <c r="J243" s="30">
        <f t="shared" ca="1" si="29"/>
        <v>168.38416666035371</v>
      </c>
      <c r="K243" s="45">
        <f t="shared" ca="1" si="30"/>
        <v>44.559538630460757</v>
      </c>
      <c r="L243" s="35">
        <f t="shared" si="31"/>
        <v>-411.03509339999346</v>
      </c>
      <c r="P243" s="9"/>
      <c r="Q243" s="26"/>
    </row>
    <row r="244" spans="1:17" x14ac:dyDescent="0.3">
      <c r="A244">
        <v>23</v>
      </c>
      <c r="B244" s="3">
        <v>1.9335633747787351</v>
      </c>
      <c r="C244" s="2">
        <v>62.52287629273178</v>
      </c>
      <c r="D244" s="1">
        <v>1.5706768229459045</v>
      </c>
      <c r="E244" s="9">
        <f t="shared" si="24"/>
        <v>15.630719073182945</v>
      </c>
      <c r="F244" s="3">
        <f t="shared" si="25"/>
        <v>3.141353645891809E-2</v>
      </c>
      <c r="G244">
        <f t="shared" ca="1" si="26"/>
        <v>2</v>
      </c>
      <c r="H244" s="9">
        <f t="shared" ca="1" si="27"/>
        <v>50</v>
      </c>
      <c r="I244" s="12">
        <f t="shared" si="28"/>
        <v>0</v>
      </c>
      <c r="J244" s="30">
        <f t="shared" ca="1" si="29"/>
        <v>34.369280926817055</v>
      </c>
      <c r="K244" s="45">
        <f t="shared" ca="1" si="30"/>
        <v>17.775099267563476</v>
      </c>
      <c r="L244" s="35">
        <f t="shared" si="31"/>
        <v>-412.96865677477217</v>
      </c>
      <c r="P244" s="9"/>
      <c r="Q244" s="26"/>
    </row>
    <row r="245" spans="1:17" x14ac:dyDescent="0.3">
      <c r="A245">
        <v>887</v>
      </c>
      <c r="B245" s="3">
        <v>4.9686601118931186</v>
      </c>
      <c r="C245" s="2">
        <v>3.8320455416202104</v>
      </c>
      <c r="D245" s="1">
        <v>1.5646362110877148</v>
      </c>
      <c r="E245" s="9">
        <f t="shared" si="24"/>
        <v>0.9580113854050526</v>
      </c>
      <c r="F245" s="3">
        <f t="shared" si="25"/>
        <v>3.1292724221754296E-2</v>
      </c>
      <c r="G245">
        <f t="shared" ca="1" si="26"/>
        <v>2</v>
      </c>
      <c r="H245" s="9">
        <f t="shared" ca="1" si="27"/>
        <v>50</v>
      </c>
      <c r="I245" s="12">
        <f t="shared" si="28"/>
        <v>0</v>
      </c>
      <c r="J245" s="30">
        <f t="shared" ca="1" si="29"/>
        <v>49.041988614594949</v>
      </c>
      <c r="K245" s="45">
        <f t="shared" ca="1" si="30"/>
        <v>9.8702643187862105</v>
      </c>
      <c r="L245" s="35">
        <f t="shared" si="31"/>
        <v>-417.93731688666531</v>
      </c>
      <c r="P245" s="9"/>
      <c r="Q245" s="26"/>
    </row>
    <row r="246" spans="1:17" x14ac:dyDescent="0.3">
      <c r="A246">
        <v>800</v>
      </c>
      <c r="B246" s="3">
        <v>9.3310756405959623</v>
      </c>
      <c r="C246" s="2">
        <v>20.764741698943944</v>
      </c>
      <c r="D246" s="1">
        <v>2.7507504863901571</v>
      </c>
      <c r="E246" s="9">
        <f t="shared" si="24"/>
        <v>5.1911854247359859</v>
      </c>
      <c r="F246" s="3">
        <f t="shared" si="25"/>
        <v>5.5015009727803141E-2</v>
      </c>
      <c r="G246">
        <f t="shared" ca="1" si="26"/>
        <v>1</v>
      </c>
      <c r="H246" s="9">
        <f t="shared" ca="1" si="27"/>
        <v>25</v>
      </c>
      <c r="I246" s="12">
        <f t="shared" si="28"/>
        <v>0</v>
      </c>
      <c r="J246" s="30">
        <f t="shared" ca="1" si="29"/>
        <v>19.808814575264016</v>
      </c>
      <c r="K246" s="45">
        <f t="shared" ca="1" si="30"/>
        <v>2.1228865072193175</v>
      </c>
      <c r="L246" s="35">
        <f t="shared" si="31"/>
        <v>-427.26839252726126</v>
      </c>
      <c r="P246" s="9"/>
      <c r="Q246" s="26"/>
    </row>
    <row r="247" spans="1:17" x14ac:dyDescent="0.3">
      <c r="A247">
        <v>822</v>
      </c>
      <c r="B247" s="3">
        <v>2.8091609471460375</v>
      </c>
      <c r="C247" s="2">
        <v>48.035789616350257</v>
      </c>
      <c r="D247" s="1">
        <v>2.6768555448029465</v>
      </c>
      <c r="E247" s="9">
        <f t="shared" si="24"/>
        <v>12.008947404087564</v>
      </c>
      <c r="F247" s="3">
        <f t="shared" si="25"/>
        <v>5.3537110896058934E-2</v>
      </c>
      <c r="G247">
        <f t="shared" ca="1" si="26"/>
        <v>3</v>
      </c>
      <c r="H247" s="9">
        <f t="shared" ca="1" si="27"/>
        <v>75</v>
      </c>
      <c r="I247" s="12">
        <f t="shared" si="28"/>
        <v>0</v>
      </c>
      <c r="J247" s="30">
        <f t="shared" ca="1" si="29"/>
        <v>62.991052595912436</v>
      </c>
      <c r="K247" s="45">
        <f t="shared" ca="1" si="30"/>
        <v>22.423440230403351</v>
      </c>
      <c r="L247" s="35">
        <f t="shared" si="31"/>
        <v>-430.0775534744073</v>
      </c>
      <c r="P247" s="9"/>
      <c r="Q247" s="26"/>
    </row>
    <row r="248" spans="1:17" x14ac:dyDescent="0.3">
      <c r="A248">
        <v>656</v>
      </c>
      <c r="B248" s="3">
        <v>2.7117146779412584</v>
      </c>
      <c r="C248" s="2">
        <v>49.90426920645212</v>
      </c>
      <c r="D248" s="1">
        <v>2.3179198680168245</v>
      </c>
      <c r="E248" s="9">
        <f t="shared" si="24"/>
        <v>12.47606730161303</v>
      </c>
      <c r="F248" s="3">
        <f t="shared" si="25"/>
        <v>4.6358397360336492E-2</v>
      </c>
      <c r="G248">
        <f t="shared" ca="1" si="26"/>
        <v>2</v>
      </c>
      <c r="H248" s="9">
        <f t="shared" ca="1" si="27"/>
        <v>50</v>
      </c>
      <c r="I248" s="12">
        <f t="shared" si="28"/>
        <v>0</v>
      </c>
      <c r="J248" s="30">
        <f t="shared" ca="1" si="29"/>
        <v>37.523932698386972</v>
      </c>
      <c r="K248" s="45">
        <f t="shared" ca="1" si="30"/>
        <v>13.837714197452089</v>
      </c>
      <c r="L248" s="35">
        <f t="shared" si="31"/>
        <v>-432.78926815234854</v>
      </c>
      <c r="P248" s="9"/>
      <c r="Q248" s="26"/>
    </row>
    <row r="249" spans="1:17" x14ac:dyDescent="0.3">
      <c r="A249">
        <v>171</v>
      </c>
      <c r="B249" s="3">
        <v>9.703695819620302</v>
      </c>
      <c r="C249" s="2">
        <v>22.860333833081558</v>
      </c>
      <c r="D249" s="1">
        <v>2.8510286984942832</v>
      </c>
      <c r="E249" s="9">
        <f t="shared" si="24"/>
        <v>5.7150834582703895</v>
      </c>
      <c r="F249" s="3">
        <f t="shared" si="25"/>
        <v>5.7020573969885663E-2</v>
      </c>
      <c r="G249">
        <f t="shared" ca="1" si="26"/>
        <v>3</v>
      </c>
      <c r="H249" s="9">
        <f t="shared" ca="1" si="27"/>
        <v>75</v>
      </c>
      <c r="I249" s="12">
        <f t="shared" si="28"/>
        <v>0</v>
      </c>
      <c r="J249" s="30">
        <f t="shared" ca="1" si="29"/>
        <v>69.284916541729615</v>
      </c>
      <c r="K249" s="45">
        <f t="shared" ca="1" si="30"/>
        <v>7.1400544524117899</v>
      </c>
      <c r="L249" s="35">
        <f t="shared" si="31"/>
        <v>-442.49296397196883</v>
      </c>
      <c r="P249" s="9"/>
      <c r="Q249" s="26"/>
    </row>
    <row r="250" spans="1:17" x14ac:dyDescent="0.3">
      <c r="A250">
        <v>768</v>
      </c>
      <c r="B250" s="3">
        <v>5.2032934259225296</v>
      </c>
      <c r="C250" s="2">
        <v>6.10745718760014</v>
      </c>
      <c r="D250" s="1">
        <v>1.415449584996018</v>
      </c>
      <c r="E250" s="9">
        <f t="shared" si="24"/>
        <v>1.526864296900035</v>
      </c>
      <c r="F250" s="3">
        <f t="shared" si="25"/>
        <v>2.830899169992036E-2</v>
      </c>
      <c r="G250">
        <f t="shared" ca="1" si="26"/>
        <v>1</v>
      </c>
      <c r="H250" s="9">
        <f t="shared" ca="1" si="27"/>
        <v>25</v>
      </c>
      <c r="I250" s="12">
        <f t="shared" si="28"/>
        <v>0</v>
      </c>
      <c r="J250" s="30">
        <f t="shared" ca="1" si="29"/>
        <v>23.473135703099963</v>
      </c>
      <c r="K250" s="45">
        <f t="shared" ca="1" si="30"/>
        <v>4.5112073799563284</v>
      </c>
      <c r="L250" s="35">
        <f t="shared" si="31"/>
        <v>-447.69625739789137</v>
      </c>
      <c r="P250" s="9"/>
      <c r="Q250" s="26"/>
    </row>
    <row r="251" spans="1:17" x14ac:dyDescent="0.3">
      <c r="A251">
        <v>361</v>
      </c>
      <c r="B251" s="3">
        <v>2.2948480039529837</v>
      </c>
      <c r="C251" s="2">
        <v>59.614503273278544</v>
      </c>
      <c r="D251" s="1">
        <v>1.7420864405664629</v>
      </c>
      <c r="E251" s="9">
        <f t="shared" si="24"/>
        <v>14.903625818319636</v>
      </c>
      <c r="F251" s="3">
        <f t="shared" si="25"/>
        <v>3.4841728811329256E-2</v>
      </c>
      <c r="G251">
        <f t="shared" ca="1" si="26"/>
        <v>0</v>
      </c>
      <c r="H251" s="9">
        <f t="shared" ca="1" si="27"/>
        <v>0</v>
      </c>
      <c r="I251" s="12">
        <f t="shared" si="28"/>
        <v>0</v>
      </c>
      <c r="J251" s="30">
        <f t="shared" ca="1" si="29"/>
        <v>-14.903625818319636</v>
      </c>
      <c r="K251" s="45">
        <f t="shared" ca="1" si="30"/>
        <v>-6.4943847229304241</v>
      </c>
      <c r="L251" s="35">
        <f t="shared" si="31"/>
        <v>-449.99110540184438</v>
      </c>
      <c r="P251" s="9"/>
      <c r="Q251" s="26"/>
    </row>
    <row r="252" spans="1:17" x14ac:dyDescent="0.3">
      <c r="A252">
        <v>760</v>
      </c>
      <c r="B252" s="3">
        <v>1.6634532033342386</v>
      </c>
      <c r="C252" s="2">
        <v>71.296383545382341</v>
      </c>
      <c r="D252" s="1">
        <v>0.54503932587193649</v>
      </c>
      <c r="E252" s="9">
        <f t="shared" si="24"/>
        <v>17.824095886345585</v>
      </c>
      <c r="F252" s="3">
        <f t="shared" si="25"/>
        <v>1.090078651743873E-2</v>
      </c>
      <c r="G252">
        <f t="shared" ca="1" si="26"/>
        <v>0</v>
      </c>
      <c r="H252" s="9">
        <f t="shared" ca="1" si="27"/>
        <v>0</v>
      </c>
      <c r="I252" s="12">
        <f t="shared" si="28"/>
        <v>0</v>
      </c>
      <c r="J252" s="30">
        <f t="shared" ca="1" si="29"/>
        <v>-17.824095886345585</v>
      </c>
      <c r="K252" s="45">
        <f t="shared" ca="1" si="30"/>
        <v>-10.715117113375253</v>
      </c>
      <c r="L252" s="35">
        <f t="shared" si="31"/>
        <v>-451.65455860517864</v>
      </c>
      <c r="P252" s="9"/>
      <c r="Q252" s="26"/>
    </row>
    <row r="253" spans="1:17" x14ac:dyDescent="0.3">
      <c r="A253">
        <v>263</v>
      </c>
      <c r="B253" s="3">
        <v>2.752843212110303</v>
      </c>
      <c r="C253" s="2">
        <v>53.87698911205505</v>
      </c>
      <c r="D253" s="1">
        <v>1.314036532834796</v>
      </c>
      <c r="E253" s="9">
        <f t="shared" si="24"/>
        <v>13.469247278013762</v>
      </c>
      <c r="F253" s="3">
        <f t="shared" si="25"/>
        <v>2.6280730656695922E-2</v>
      </c>
      <c r="G253">
        <f t="shared" ca="1" si="26"/>
        <v>1</v>
      </c>
      <c r="H253" s="9">
        <f t="shared" ca="1" si="27"/>
        <v>25</v>
      </c>
      <c r="I253" s="12">
        <f t="shared" si="28"/>
        <v>0</v>
      </c>
      <c r="J253" s="30">
        <f t="shared" ca="1" si="29"/>
        <v>11.530752721986238</v>
      </c>
      <c r="K253" s="45">
        <f t="shared" ca="1" si="30"/>
        <v>4.1886703431783436</v>
      </c>
      <c r="L253" s="35">
        <f t="shared" si="31"/>
        <v>-454.40740181728893</v>
      </c>
      <c r="P253" s="9"/>
      <c r="Q253" s="26"/>
    </row>
    <row r="254" spans="1:17" x14ac:dyDescent="0.3">
      <c r="A254">
        <v>985</v>
      </c>
      <c r="B254" s="3">
        <v>5.5346435523973438</v>
      </c>
      <c r="C254" s="2">
        <v>8.0779941770047543</v>
      </c>
      <c r="D254" s="1">
        <v>2.0257947754439365</v>
      </c>
      <c r="E254" s="9">
        <f t="shared" si="24"/>
        <v>2.0194985442511886</v>
      </c>
      <c r="F254" s="3">
        <f t="shared" si="25"/>
        <v>4.0515895508878734E-2</v>
      </c>
      <c r="G254">
        <f t="shared" ca="1" si="26"/>
        <v>4</v>
      </c>
      <c r="H254" s="9">
        <f t="shared" ca="1" si="27"/>
        <v>100</v>
      </c>
      <c r="I254" s="12">
        <f t="shared" si="28"/>
        <v>0</v>
      </c>
      <c r="J254" s="30">
        <f t="shared" ca="1" si="29"/>
        <v>97.980501455748808</v>
      </c>
      <c r="K254" s="45">
        <f t="shared" ca="1" si="30"/>
        <v>17.703127677175946</v>
      </c>
      <c r="L254" s="35">
        <f t="shared" si="31"/>
        <v>-459.9420453696863</v>
      </c>
      <c r="P254" s="9"/>
      <c r="Q254" s="26"/>
    </row>
    <row r="255" spans="1:17" x14ac:dyDescent="0.3">
      <c r="A255">
        <v>908</v>
      </c>
      <c r="B255" s="3">
        <v>9.7899024251970967</v>
      </c>
      <c r="C255" s="2">
        <v>39.329506007282497</v>
      </c>
      <c r="D255" s="1">
        <v>3.2126973351879622</v>
      </c>
      <c r="E255" s="9">
        <f t="shared" si="24"/>
        <v>9.8323765018206242</v>
      </c>
      <c r="F255" s="3">
        <f t="shared" si="25"/>
        <v>6.4253946703759252E-2</v>
      </c>
      <c r="G255">
        <f t="shared" ca="1" si="26"/>
        <v>4</v>
      </c>
      <c r="H255" s="9">
        <f t="shared" ca="1" si="27"/>
        <v>100</v>
      </c>
      <c r="I255" s="12">
        <f t="shared" si="28"/>
        <v>0</v>
      </c>
      <c r="J255" s="30">
        <f t="shared" ca="1" si="29"/>
        <v>90.167623498179381</v>
      </c>
      <c r="K255" s="45">
        <f t="shared" ca="1" si="30"/>
        <v>9.2102678435392136</v>
      </c>
      <c r="L255" s="35">
        <f t="shared" si="31"/>
        <v>-469.73194779488341</v>
      </c>
      <c r="P255" s="9"/>
      <c r="Q255" s="26"/>
    </row>
    <row r="256" spans="1:17" x14ac:dyDescent="0.3">
      <c r="A256">
        <v>363</v>
      </c>
      <c r="B256" s="3">
        <v>5.7235684506015163</v>
      </c>
      <c r="C256" s="2">
        <v>6.0982912697297165</v>
      </c>
      <c r="D256" s="1">
        <v>1.1986349997228909</v>
      </c>
      <c r="E256" s="9">
        <f t="shared" si="24"/>
        <v>1.5245728174324291</v>
      </c>
      <c r="F256" s="3">
        <f t="shared" si="25"/>
        <v>2.3972699994457818E-2</v>
      </c>
      <c r="G256">
        <f t="shared" ca="1" si="26"/>
        <v>2</v>
      </c>
      <c r="H256" s="9">
        <f t="shared" ca="1" si="27"/>
        <v>50</v>
      </c>
      <c r="I256" s="12">
        <f t="shared" si="28"/>
        <v>0</v>
      </c>
      <c r="J256" s="30">
        <f t="shared" ca="1" si="29"/>
        <v>48.475427182567572</v>
      </c>
      <c r="K256" s="45">
        <f t="shared" ca="1" si="30"/>
        <v>8.4694413285951118</v>
      </c>
      <c r="L256" s="35">
        <f t="shared" si="31"/>
        <v>-475.45551624548494</v>
      </c>
      <c r="P256" s="9"/>
      <c r="Q256" s="26"/>
    </row>
    <row r="257" spans="1:17" x14ac:dyDescent="0.3">
      <c r="A257">
        <v>693</v>
      </c>
      <c r="B257" s="3">
        <v>2.9255186929531085</v>
      </c>
      <c r="C257" s="2">
        <v>53.087297456661162</v>
      </c>
      <c r="D257" s="1">
        <v>2.5814909006531979</v>
      </c>
      <c r="E257" s="9">
        <f t="shared" si="24"/>
        <v>13.27182436416529</v>
      </c>
      <c r="F257" s="3">
        <f t="shared" si="25"/>
        <v>5.1629818013063961E-2</v>
      </c>
      <c r="G257">
        <f t="shared" ca="1" si="26"/>
        <v>2</v>
      </c>
      <c r="H257" s="9">
        <f t="shared" ca="1" si="27"/>
        <v>50</v>
      </c>
      <c r="I257" s="12">
        <f t="shared" si="28"/>
        <v>0</v>
      </c>
      <c r="J257" s="30">
        <f t="shared" ca="1" si="29"/>
        <v>36.72817563583471</v>
      </c>
      <c r="K257" s="45">
        <f t="shared" ca="1" si="30"/>
        <v>12.554414957014053</v>
      </c>
      <c r="L257" s="35">
        <f t="shared" si="31"/>
        <v>-478.38103493843806</v>
      </c>
      <c r="P257" s="9"/>
      <c r="Q257" s="26"/>
    </row>
    <row r="258" spans="1:17" x14ac:dyDescent="0.3">
      <c r="A258">
        <v>290</v>
      </c>
      <c r="B258" s="3">
        <v>8.8008720509214928</v>
      </c>
      <c r="C258" s="2">
        <v>61.083392301559527</v>
      </c>
      <c r="D258" s="1">
        <v>3.0835691649408377</v>
      </c>
      <c r="E258" s="9">
        <f t="shared" ref="E258:E321" si="32">0.25*C258</f>
        <v>15.270848075389882</v>
      </c>
      <c r="F258" s="3">
        <f t="shared" ref="F258:F321" si="33">(1/50)*D258</f>
        <v>6.1671383298816752E-2</v>
      </c>
      <c r="G258">
        <f t="shared" ref="G258:G321" ca="1" si="34">_xlfn.BINOM.INV(50,F258,RAND())</f>
        <v>3</v>
      </c>
      <c r="H258" s="9">
        <f t="shared" ref="H258:H321" ca="1" si="35">G258*25</f>
        <v>75</v>
      </c>
      <c r="I258" s="12">
        <f t="shared" ref="I258:I321" si="36">IF(L258&gt;0,1,0)</f>
        <v>0</v>
      </c>
      <c r="J258" s="30">
        <f t="shared" ref="J258:J321" ca="1" si="37">H258-E258</f>
        <v>59.729151924610122</v>
      </c>
      <c r="K258" s="45">
        <f t="shared" ref="K258:K321" ca="1" si="38">J258/B258</f>
        <v>6.786731085171974</v>
      </c>
      <c r="L258" s="35">
        <f t="shared" si="31"/>
        <v>-487.18190698935956</v>
      </c>
      <c r="P258" s="9"/>
      <c r="Q258" s="26"/>
    </row>
    <row r="259" spans="1:17" x14ac:dyDescent="0.3">
      <c r="A259">
        <v>1</v>
      </c>
      <c r="B259" s="3">
        <v>2.8413064697717907</v>
      </c>
      <c r="C259" s="2">
        <v>56.394255202399854</v>
      </c>
      <c r="D259" s="1">
        <v>0.54255899440706989</v>
      </c>
      <c r="E259" s="9">
        <f t="shared" si="32"/>
        <v>14.098563800599964</v>
      </c>
      <c r="F259" s="3">
        <f t="shared" si="33"/>
        <v>1.0851179888141398E-2</v>
      </c>
      <c r="G259">
        <f t="shared" ca="1" si="34"/>
        <v>1</v>
      </c>
      <c r="H259" s="9">
        <f t="shared" ca="1" si="35"/>
        <v>25</v>
      </c>
      <c r="I259" s="12">
        <f t="shared" si="36"/>
        <v>0</v>
      </c>
      <c r="J259" s="30">
        <f t="shared" ca="1" si="37"/>
        <v>10.901436199400036</v>
      </c>
      <c r="K259" s="45">
        <f t="shared" ca="1" si="38"/>
        <v>3.8367688650902987</v>
      </c>
      <c r="L259" s="35">
        <f t="shared" si="31"/>
        <v>-490.02321345913134</v>
      </c>
      <c r="P259" s="9"/>
      <c r="Q259" s="26"/>
    </row>
    <row r="260" spans="1:17" x14ac:dyDescent="0.3">
      <c r="A260">
        <v>1035</v>
      </c>
      <c r="B260" s="3">
        <v>6.5297033608495365</v>
      </c>
      <c r="C260" s="2">
        <v>2.054150321596504E-2</v>
      </c>
      <c r="D260" s="1">
        <v>1.3756516629534754</v>
      </c>
      <c r="E260" s="9">
        <f t="shared" si="32"/>
        <v>5.13537580399126E-3</v>
      </c>
      <c r="F260" s="3">
        <f t="shared" si="33"/>
        <v>2.7513033259069508E-2</v>
      </c>
      <c r="G260">
        <f t="shared" ca="1" si="34"/>
        <v>0</v>
      </c>
      <c r="H260" s="9">
        <f t="shared" ca="1" si="35"/>
        <v>0</v>
      </c>
      <c r="I260" s="12">
        <f t="shared" si="36"/>
        <v>0</v>
      </c>
      <c r="J260" s="30">
        <f t="shared" ca="1" si="37"/>
        <v>-5.13537580399126E-3</v>
      </c>
      <c r="K260" s="45">
        <f t="shared" ca="1" si="38"/>
        <v>-7.8646387442064911E-4</v>
      </c>
      <c r="L260" s="35">
        <f t="shared" ref="L260:L323" si="39">L259-B260</f>
        <v>-496.55291681998085</v>
      </c>
      <c r="P260" s="9"/>
      <c r="Q260" s="26"/>
    </row>
    <row r="261" spans="1:17" x14ac:dyDescent="0.3">
      <c r="A261">
        <v>642</v>
      </c>
      <c r="B261" s="3">
        <v>6.4951266980526849</v>
      </c>
      <c r="C261" s="2">
        <v>0.85461864823491718</v>
      </c>
      <c r="D261" s="1">
        <v>1.0789884556055376</v>
      </c>
      <c r="E261" s="9">
        <f t="shared" si="32"/>
        <v>0.21365466205872929</v>
      </c>
      <c r="F261" s="3">
        <f t="shared" si="33"/>
        <v>2.1579769112110753E-2</v>
      </c>
      <c r="G261">
        <f t="shared" ca="1" si="34"/>
        <v>1</v>
      </c>
      <c r="H261" s="9">
        <f t="shared" ca="1" si="35"/>
        <v>25</v>
      </c>
      <c r="I261" s="12">
        <f t="shared" si="36"/>
        <v>0</v>
      </c>
      <c r="J261" s="30">
        <f t="shared" ca="1" si="37"/>
        <v>24.78634533794127</v>
      </c>
      <c r="K261" s="45">
        <f t="shared" ca="1" si="38"/>
        <v>3.8161450099768657</v>
      </c>
      <c r="L261" s="35">
        <f t="shared" si="39"/>
        <v>-503.04804351803352</v>
      </c>
      <c r="P261" s="9"/>
      <c r="Q261" s="26"/>
    </row>
    <row r="262" spans="1:17" x14ac:dyDescent="0.3">
      <c r="A262">
        <v>932</v>
      </c>
      <c r="B262" s="3">
        <v>3.0412679026231624</v>
      </c>
      <c r="C262" s="2">
        <v>54.386403670793612</v>
      </c>
      <c r="D262" s="1">
        <v>1.4432946042609451</v>
      </c>
      <c r="E262" s="9">
        <f t="shared" si="32"/>
        <v>13.596600917698403</v>
      </c>
      <c r="F262" s="3">
        <f t="shared" si="33"/>
        <v>2.8865892085218902E-2</v>
      </c>
      <c r="G262">
        <f t="shared" ca="1" si="34"/>
        <v>2</v>
      </c>
      <c r="H262" s="9">
        <f t="shared" ca="1" si="35"/>
        <v>50</v>
      </c>
      <c r="I262" s="12">
        <f t="shared" si="36"/>
        <v>0</v>
      </c>
      <c r="J262" s="30">
        <f t="shared" ca="1" si="37"/>
        <v>36.403399082301597</v>
      </c>
      <c r="K262" s="45">
        <f t="shared" ca="1" si="38"/>
        <v>11.969810042352021</v>
      </c>
      <c r="L262" s="35">
        <f t="shared" si="39"/>
        <v>-506.08931142065671</v>
      </c>
      <c r="P262" s="9"/>
      <c r="Q262" s="26"/>
    </row>
    <row r="263" spans="1:17" x14ac:dyDescent="0.3">
      <c r="A263">
        <v>685</v>
      </c>
      <c r="B263" s="3">
        <v>6.3549319708390017</v>
      </c>
      <c r="C263" s="2">
        <v>5.5178734245572514</v>
      </c>
      <c r="D263" s="1">
        <v>0.39773463445090063</v>
      </c>
      <c r="E263" s="9">
        <f t="shared" si="32"/>
        <v>1.3794683561393128</v>
      </c>
      <c r="F263" s="3">
        <f t="shared" si="33"/>
        <v>7.9546926890180121E-3</v>
      </c>
      <c r="G263">
        <f t="shared" ca="1" si="34"/>
        <v>0</v>
      </c>
      <c r="H263" s="9">
        <f t="shared" ca="1" si="35"/>
        <v>0</v>
      </c>
      <c r="I263" s="12">
        <f t="shared" si="36"/>
        <v>0</v>
      </c>
      <c r="J263" s="30">
        <f t="shared" ca="1" si="37"/>
        <v>-1.3794683561393128</v>
      </c>
      <c r="K263" s="45">
        <f t="shared" ca="1" si="38"/>
        <v>-0.21707051506913147</v>
      </c>
      <c r="L263" s="35">
        <f t="shared" si="39"/>
        <v>-512.44424339149566</v>
      </c>
      <c r="P263" s="9"/>
      <c r="Q263" s="26"/>
    </row>
    <row r="264" spans="1:17" x14ac:dyDescent="0.3">
      <c r="A264">
        <v>671</v>
      </c>
      <c r="B264" s="3">
        <v>3.7566641688152158</v>
      </c>
      <c r="C264" s="2">
        <v>44.515361427733424</v>
      </c>
      <c r="D264" s="1">
        <v>2.2960215203133711</v>
      </c>
      <c r="E264" s="9">
        <f t="shared" si="32"/>
        <v>11.128840356933356</v>
      </c>
      <c r="F264" s="3">
        <f t="shared" si="33"/>
        <v>4.5920430406267421E-2</v>
      </c>
      <c r="G264">
        <f t="shared" ca="1" si="34"/>
        <v>3</v>
      </c>
      <c r="H264" s="9">
        <f t="shared" ca="1" si="35"/>
        <v>75</v>
      </c>
      <c r="I264" s="12">
        <f t="shared" si="36"/>
        <v>0</v>
      </c>
      <c r="J264" s="30">
        <f t="shared" ca="1" si="37"/>
        <v>63.871159643066648</v>
      </c>
      <c r="K264" s="45">
        <f t="shared" ca="1" si="38"/>
        <v>17.00209461715351</v>
      </c>
      <c r="L264" s="35">
        <f t="shared" si="39"/>
        <v>-516.20090756031084</v>
      </c>
      <c r="P264" s="9"/>
      <c r="Q264" s="26"/>
    </row>
    <row r="265" spans="1:17" x14ac:dyDescent="0.3">
      <c r="A265">
        <v>4</v>
      </c>
      <c r="B265" s="3">
        <v>2.5037188976248204</v>
      </c>
      <c r="C265" s="2">
        <v>63.711481025370567</v>
      </c>
      <c r="D265" s="1">
        <v>2.8641274571122279</v>
      </c>
      <c r="E265" s="9">
        <f t="shared" si="32"/>
        <v>15.927870256342642</v>
      </c>
      <c r="F265" s="3">
        <f t="shared" si="33"/>
        <v>5.7282549142244558E-2</v>
      </c>
      <c r="G265">
        <f t="shared" ca="1" si="34"/>
        <v>1</v>
      </c>
      <c r="H265" s="9">
        <f t="shared" ca="1" si="35"/>
        <v>25</v>
      </c>
      <c r="I265" s="12">
        <f t="shared" si="36"/>
        <v>0</v>
      </c>
      <c r="J265" s="30">
        <f t="shared" ca="1" si="37"/>
        <v>9.0721297436573582</v>
      </c>
      <c r="K265" s="45">
        <f t="shared" ca="1" si="38"/>
        <v>3.6234617840939456</v>
      </c>
      <c r="L265" s="35">
        <f t="shared" si="39"/>
        <v>-518.70462645793566</v>
      </c>
      <c r="P265" s="9"/>
      <c r="Q265" s="26"/>
    </row>
    <row r="266" spans="1:17" x14ac:dyDescent="0.3">
      <c r="A266">
        <v>802</v>
      </c>
      <c r="B266" s="3">
        <v>7.1043214039770586</v>
      </c>
      <c r="C266" s="2">
        <v>0.39843641945495056</v>
      </c>
      <c r="D266" s="1">
        <v>1.3545336572317539</v>
      </c>
      <c r="E266" s="9">
        <f t="shared" si="32"/>
        <v>9.9609104863737641E-2</v>
      </c>
      <c r="F266" s="3">
        <f t="shared" si="33"/>
        <v>2.7090673144635077E-2</v>
      </c>
      <c r="G266">
        <f t="shared" ca="1" si="34"/>
        <v>0</v>
      </c>
      <c r="H266" s="9">
        <f t="shared" ca="1" si="35"/>
        <v>0</v>
      </c>
      <c r="I266" s="12">
        <f t="shared" si="36"/>
        <v>0</v>
      </c>
      <c r="J266" s="30">
        <f t="shared" ca="1" si="37"/>
        <v>-9.9609104863737641E-2</v>
      </c>
      <c r="K266" s="45">
        <f t="shared" ca="1" si="38"/>
        <v>-1.4020917579541887E-2</v>
      </c>
      <c r="L266" s="35">
        <f t="shared" si="39"/>
        <v>-525.80894786191277</v>
      </c>
      <c r="P266" s="9"/>
      <c r="Q266" s="26"/>
    </row>
    <row r="267" spans="1:17" x14ac:dyDescent="0.3">
      <c r="A267">
        <v>719</v>
      </c>
      <c r="B267" s="3">
        <v>3.127348736843365</v>
      </c>
      <c r="C267" s="2">
        <v>56.383015412837544</v>
      </c>
      <c r="D267" s="1">
        <v>2.5667504424405436</v>
      </c>
      <c r="E267" s="9">
        <f t="shared" si="32"/>
        <v>14.095753853209386</v>
      </c>
      <c r="F267" s="3">
        <f t="shared" si="33"/>
        <v>5.133500884881087E-2</v>
      </c>
      <c r="G267">
        <f t="shared" ca="1" si="34"/>
        <v>1</v>
      </c>
      <c r="H267" s="9">
        <f t="shared" ca="1" si="35"/>
        <v>25</v>
      </c>
      <c r="I267" s="12">
        <f t="shared" si="36"/>
        <v>0</v>
      </c>
      <c r="J267" s="30">
        <f t="shared" ca="1" si="37"/>
        <v>10.904246146790614</v>
      </c>
      <c r="K267" s="45">
        <f t="shared" ca="1" si="38"/>
        <v>3.4867381492596103</v>
      </c>
      <c r="L267" s="35">
        <f t="shared" si="39"/>
        <v>-528.93629659875614</v>
      </c>
      <c r="P267" s="9"/>
      <c r="Q267" s="26"/>
    </row>
    <row r="268" spans="1:17" x14ac:dyDescent="0.3">
      <c r="A268">
        <v>100</v>
      </c>
      <c r="B268" s="3">
        <v>7.424306049298778</v>
      </c>
      <c r="C268" s="2">
        <v>98.139133851431353</v>
      </c>
      <c r="D268" s="1">
        <v>2.9735302238219714</v>
      </c>
      <c r="E268" s="9">
        <f t="shared" si="32"/>
        <v>24.534783462857838</v>
      </c>
      <c r="F268" s="3">
        <f t="shared" si="33"/>
        <v>5.9470604476439426E-2</v>
      </c>
      <c r="G268">
        <f t="shared" ca="1" si="34"/>
        <v>3</v>
      </c>
      <c r="H268" s="9">
        <f t="shared" ca="1" si="35"/>
        <v>75</v>
      </c>
      <c r="I268" s="12">
        <f t="shared" si="36"/>
        <v>0</v>
      </c>
      <c r="J268" s="30">
        <f t="shared" ca="1" si="37"/>
        <v>50.465216537142162</v>
      </c>
      <c r="K268" s="45">
        <f t="shared" ca="1" si="38"/>
        <v>6.7972974446424628</v>
      </c>
      <c r="L268" s="35">
        <f t="shared" si="39"/>
        <v>-536.36060264805496</v>
      </c>
      <c r="P268" s="9"/>
      <c r="Q268" s="26"/>
    </row>
    <row r="269" spans="1:17" x14ac:dyDescent="0.3">
      <c r="A269">
        <v>1027</v>
      </c>
      <c r="B269" s="3">
        <v>8.9329644561621961</v>
      </c>
      <c r="C269" s="2">
        <v>78.27337184140039</v>
      </c>
      <c r="D269" s="1">
        <v>3.1000093499060086</v>
      </c>
      <c r="E269" s="9">
        <f t="shared" si="32"/>
        <v>19.568342960350098</v>
      </c>
      <c r="F269" s="3">
        <f t="shared" si="33"/>
        <v>6.2000186998120176E-2</v>
      </c>
      <c r="G269">
        <f t="shared" ca="1" si="34"/>
        <v>4</v>
      </c>
      <c r="H269" s="9">
        <f t="shared" ca="1" si="35"/>
        <v>100</v>
      </c>
      <c r="I269" s="12">
        <f t="shared" si="36"/>
        <v>0</v>
      </c>
      <c r="J269" s="30">
        <f t="shared" ca="1" si="37"/>
        <v>80.431657039649906</v>
      </c>
      <c r="K269" s="45">
        <f t="shared" ca="1" si="38"/>
        <v>9.0039154901334033</v>
      </c>
      <c r="L269" s="35">
        <f t="shared" si="39"/>
        <v>-545.29356710421712</v>
      </c>
      <c r="P269" s="9"/>
      <c r="Q269" s="26"/>
    </row>
    <row r="270" spans="1:17" x14ac:dyDescent="0.3">
      <c r="A270">
        <v>1100</v>
      </c>
      <c r="B270" s="3">
        <v>6.6708003843085297</v>
      </c>
      <c r="C270" s="2">
        <v>9.6869700740117146</v>
      </c>
      <c r="D270" s="1">
        <v>3.2266163247432469</v>
      </c>
      <c r="E270" s="9">
        <f t="shared" si="32"/>
        <v>2.4217425185029287</v>
      </c>
      <c r="F270" s="3">
        <f t="shared" si="33"/>
        <v>6.4532326494864942E-2</v>
      </c>
      <c r="G270">
        <f t="shared" ca="1" si="34"/>
        <v>7</v>
      </c>
      <c r="H270" s="9">
        <f t="shared" ca="1" si="35"/>
        <v>175</v>
      </c>
      <c r="I270" s="12">
        <f t="shared" si="36"/>
        <v>0</v>
      </c>
      <c r="J270" s="30">
        <f t="shared" ca="1" si="37"/>
        <v>172.57825748149708</v>
      </c>
      <c r="K270" s="45">
        <f t="shared" ca="1" si="38"/>
        <v>25.870697298550013</v>
      </c>
      <c r="L270" s="35">
        <f t="shared" si="39"/>
        <v>-551.96436748852568</v>
      </c>
      <c r="P270" s="9"/>
      <c r="Q270" s="26"/>
    </row>
    <row r="271" spans="1:17" x14ac:dyDescent="0.3">
      <c r="A271">
        <v>453</v>
      </c>
      <c r="B271" s="3">
        <v>0.66901126411196388</v>
      </c>
      <c r="C271" s="2">
        <v>91.096457737403895</v>
      </c>
      <c r="D271" s="1">
        <v>1.0634737095200235</v>
      </c>
      <c r="E271" s="9">
        <f t="shared" si="32"/>
        <v>22.774114434350974</v>
      </c>
      <c r="F271" s="3">
        <f t="shared" si="33"/>
        <v>2.126947419040047E-2</v>
      </c>
      <c r="G271">
        <f t="shared" ca="1" si="34"/>
        <v>1</v>
      </c>
      <c r="H271" s="9">
        <f t="shared" ca="1" si="35"/>
        <v>25</v>
      </c>
      <c r="I271" s="12">
        <f t="shared" si="36"/>
        <v>0</v>
      </c>
      <c r="J271" s="30">
        <f t="shared" ca="1" si="37"/>
        <v>2.2258855656490262</v>
      </c>
      <c r="K271" s="45">
        <f t="shared" ca="1" si="38"/>
        <v>3.32712718761714</v>
      </c>
      <c r="L271" s="35">
        <f t="shared" si="39"/>
        <v>-552.63337875263767</v>
      </c>
      <c r="P271" s="9"/>
      <c r="Q271" s="26"/>
    </row>
    <row r="272" spans="1:17" x14ac:dyDescent="0.3">
      <c r="A272">
        <v>530</v>
      </c>
      <c r="B272" s="3">
        <v>2.5313910301294964</v>
      </c>
      <c r="C272" s="2">
        <v>66.493854954952141</v>
      </c>
      <c r="D272" s="1">
        <v>2.1687808685646695</v>
      </c>
      <c r="E272" s="9">
        <f t="shared" si="32"/>
        <v>16.623463738738035</v>
      </c>
      <c r="F272" s="3">
        <f t="shared" si="33"/>
        <v>4.337561737129339E-2</v>
      </c>
      <c r="G272">
        <f t="shared" ca="1" si="34"/>
        <v>3</v>
      </c>
      <c r="H272" s="9">
        <f t="shared" ca="1" si="35"/>
        <v>75</v>
      </c>
      <c r="I272" s="12">
        <f t="shared" si="36"/>
        <v>0</v>
      </c>
      <c r="J272" s="30">
        <f t="shared" ca="1" si="37"/>
        <v>58.376536261261961</v>
      </c>
      <c r="K272" s="45">
        <f t="shared" ca="1" si="38"/>
        <v>23.061050452673697</v>
      </c>
      <c r="L272" s="35">
        <f t="shared" si="39"/>
        <v>-555.16476978276717</v>
      </c>
      <c r="P272" s="9"/>
      <c r="Q272" s="26"/>
    </row>
    <row r="273" spans="1:17" x14ac:dyDescent="0.3">
      <c r="A273">
        <v>940</v>
      </c>
      <c r="B273" s="3">
        <v>4.4904599143116606</v>
      </c>
      <c r="C273" s="2">
        <v>42.203770021775512</v>
      </c>
      <c r="D273" s="1">
        <v>2.7399006674772557</v>
      </c>
      <c r="E273" s="9">
        <f t="shared" si="32"/>
        <v>10.550942505443878</v>
      </c>
      <c r="F273" s="3">
        <f t="shared" si="33"/>
        <v>5.4798013349545115E-2</v>
      </c>
      <c r="G273">
        <f t="shared" ca="1" si="34"/>
        <v>2</v>
      </c>
      <c r="H273" s="9">
        <f t="shared" ca="1" si="35"/>
        <v>50</v>
      </c>
      <c r="I273" s="12">
        <f t="shared" si="36"/>
        <v>0</v>
      </c>
      <c r="J273" s="30">
        <f t="shared" ca="1" si="37"/>
        <v>39.449057494556122</v>
      </c>
      <c r="K273" s="45">
        <f t="shared" ca="1" si="38"/>
        <v>8.7850817616313677</v>
      </c>
      <c r="L273" s="35">
        <f t="shared" si="39"/>
        <v>-559.65522969707888</v>
      </c>
      <c r="P273" s="9"/>
      <c r="Q273" s="26"/>
    </row>
    <row r="274" spans="1:17" x14ac:dyDescent="0.3">
      <c r="A274">
        <v>790</v>
      </c>
      <c r="B274" s="3">
        <v>7.8201937950803906</v>
      </c>
      <c r="C274" s="2">
        <v>3.3189732381488923E-2</v>
      </c>
      <c r="D274" s="1">
        <v>1.8528444424142394</v>
      </c>
      <c r="E274" s="9">
        <f t="shared" si="32"/>
        <v>8.2974330953722308E-3</v>
      </c>
      <c r="F274" s="3">
        <f t="shared" si="33"/>
        <v>3.7056888848284786E-2</v>
      </c>
      <c r="G274">
        <f t="shared" ca="1" si="34"/>
        <v>3</v>
      </c>
      <c r="H274" s="9">
        <f t="shared" ca="1" si="35"/>
        <v>75</v>
      </c>
      <c r="I274" s="12">
        <f t="shared" si="36"/>
        <v>0</v>
      </c>
      <c r="J274" s="30">
        <f t="shared" ca="1" si="37"/>
        <v>74.991702566904621</v>
      </c>
      <c r="K274" s="45">
        <f t="shared" ca="1" si="38"/>
        <v>9.5894941394011468</v>
      </c>
      <c r="L274" s="35">
        <f t="shared" si="39"/>
        <v>-567.47542349215928</v>
      </c>
      <c r="P274" s="9"/>
      <c r="Q274" s="26"/>
    </row>
    <row r="275" spans="1:17" x14ac:dyDescent="0.3">
      <c r="A275">
        <v>991</v>
      </c>
      <c r="B275" s="3">
        <v>2.5363075701339888</v>
      </c>
      <c r="C275" s="2">
        <v>67.673303917698533</v>
      </c>
      <c r="D275" s="1">
        <v>1.389346664224719</v>
      </c>
      <c r="E275" s="9">
        <f t="shared" si="32"/>
        <v>16.918325979424633</v>
      </c>
      <c r="F275" s="3">
        <f t="shared" si="33"/>
        <v>2.7786933284494379E-2</v>
      </c>
      <c r="G275">
        <f t="shared" ca="1" si="34"/>
        <v>1</v>
      </c>
      <c r="H275" s="9">
        <f t="shared" ca="1" si="35"/>
        <v>25</v>
      </c>
      <c r="I275" s="12">
        <f t="shared" si="36"/>
        <v>0</v>
      </c>
      <c r="J275" s="30">
        <f t="shared" ca="1" si="37"/>
        <v>8.0816740205753668</v>
      </c>
      <c r="K275" s="45">
        <f t="shared" ca="1" si="38"/>
        <v>3.1863935256670883</v>
      </c>
      <c r="L275" s="35">
        <f t="shared" si="39"/>
        <v>-570.01173106229328</v>
      </c>
      <c r="P275" s="9"/>
      <c r="Q275" s="26"/>
    </row>
    <row r="276" spans="1:17" x14ac:dyDescent="0.3">
      <c r="A276">
        <v>750</v>
      </c>
      <c r="B276" s="3">
        <v>1.7476280176606451</v>
      </c>
      <c r="C276" s="2">
        <v>77.943863161360213</v>
      </c>
      <c r="D276" s="1">
        <v>0.94471276115091352</v>
      </c>
      <c r="E276" s="9">
        <f t="shared" si="32"/>
        <v>19.485965790340053</v>
      </c>
      <c r="F276" s="3">
        <f t="shared" si="33"/>
        <v>1.8894255223018269E-2</v>
      </c>
      <c r="G276">
        <f t="shared" ca="1" si="34"/>
        <v>0</v>
      </c>
      <c r="H276" s="9">
        <f t="shared" ca="1" si="35"/>
        <v>0</v>
      </c>
      <c r="I276" s="12">
        <f t="shared" si="36"/>
        <v>0</v>
      </c>
      <c r="J276" s="30">
        <f t="shared" ca="1" si="37"/>
        <v>-19.485965790340053</v>
      </c>
      <c r="K276" s="45">
        <f t="shared" ca="1" si="38"/>
        <v>-11.149950443357932</v>
      </c>
      <c r="L276" s="35">
        <f t="shared" si="39"/>
        <v>-571.75935907995392</v>
      </c>
      <c r="P276" s="9"/>
      <c r="Q276" s="26"/>
    </row>
    <row r="277" spans="1:17" x14ac:dyDescent="0.3">
      <c r="A277">
        <v>336</v>
      </c>
      <c r="B277" s="3">
        <v>7.6596669062089831</v>
      </c>
      <c r="C277" s="2">
        <v>3.9160762139717531</v>
      </c>
      <c r="D277" s="1">
        <v>0.63979386474012179</v>
      </c>
      <c r="E277" s="9">
        <f t="shared" si="32"/>
        <v>0.97901905349293827</v>
      </c>
      <c r="F277" s="3">
        <f t="shared" si="33"/>
        <v>1.2795877294802437E-2</v>
      </c>
      <c r="G277">
        <f t="shared" ca="1" si="34"/>
        <v>2</v>
      </c>
      <c r="H277" s="9">
        <f t="shared" ca="1" si="35"/>
        <v>50</v>
      </c>
      <c r="I277" s="12">
        <f t="shared" si="36"/>
        <v>0</v>
      </c>
      <c r="J277" s="30">
        <f t="shared" ca="1" si="37"/>
        <v>49.020980946507059</v>
      </c>
      <c r="K277" s="45">
        <f t="shared" ca="1" si="38"/>
        <v>6.3998841655595085</v>
      </c>
      <c r="L277" s="35">
        <f t="shared" si="39"/>
        <v>-579.41902598616286</v>
      </c>
      <c r="P277" s="9"/>
      <c r="Q277" s="26"/>
    </row>
    <row r="278" spans="1:17" x14ac:dyDescent="0.3">
      <c r="A278">
        <v>798</v>
      </c>
      <c r="B278" s="3">
        <v>7.5990387083278135</v>
      </c>
      <c r="C278" s="2">
        <v>6.1137161024262472</v>
      </c>
      <c r="D278" s="1">
        <v>2.0497100425392829</v>
      </c>
      <c r="E278" s="9">
        <f t="shared" si="32"/>
        <v>1.5284290256065618</v>
      </c>
      <c r="F278" s="3">
        <f t="shared" si="33"/>
        <v>4.0994200850785659E-2</v>
      </c>
      <c r="G278">
        <f t="shared" ca="1" si="34"/>
        <v>3</v>
      </c>
      <c r="H278" s="9">
        <f t="shared" ca="1" si="35"/>
        <v>75</v>
      </c>
      <c r="I278" s="12">
        <f t="shared" si="36"/>
        <v>0</v>
      </c>
      <c r="J278" s="30">
        <f t="shared" ca="1" si="37"/>
        <v>73.471570974393444</v>
      </c>
      <c r="K278" s="45">
        <f t="shared" ca="1" si="38"/>
        <v>9.6685349021680445</v>
      </c>
      <c r="L278" s="35">
        <f t="shared" si="39"/>
        <v>-587.0180646944907</v>
      </c>
      <c r="P278" s="9"/>
      <c r="Q278" s="26"/>
    </row>
    <row r="279" spans="1:17" x14ac:dyDescent="0.3">
      <c r="A279">
        <v>1091</v>
      </c>
      <c r="B279" s="3">
        <v>0.92553085588797601</v>
      </c>
      <c r="C279" s="2">
        <v>88.661022343278077</v>
      </c>
      <c r="D279" s="1">
        <v>2.66143771994926</v>
      </c>
      <c r="E279" s="9">
        <f t="shared" si="32"/>
        <v>22.165255585819519</v>
      </c>
      <c r="F279" s="3">
        <f t="shared" si="33"/>
        <v>5.3228754398985202E-2</v>
      </c>
      <c r="G279">
        <f t="shared" ca="1" si="34"/>
        <v>2</v>
      </c>
      <c r="H279" s="9">
        <f t="shared" ca="1" si="35"/>
        <v>50</v>
      </c>
      <c r="I279" s="12">
        <f t="shared" si="36"/>
        <v>0</v>
      </c>
      <c r="J279" s="30">
        <f t="shared" ca="1" si="37"/>
        <v>27.834744414180481</v>
      </c>
      <c r="K279" s="45">
        <f t="shared" ca="1" si="38"/>
        <v>30.074355962422423</v>
      </c>
      <c r="L279" s="35">
        <f t="shared" si="39"/>
        <v>-587.94359555037863</v>
      </c>
      <c r="P279" s="9"/>
      <c r="Q279" s="26"/>
    </row>
    <row r="280" spans="1:17" x14ac:dyDescent="0.3">
      <c r="A280">
        <v>63</v>
      </c>
      <c r="B280" s="3">
        <v>2.8777593324401196</v>
      </c>
      <c r="C280" s="2">
        <v>65.874635217010578</v>
      </c>
      <c r="D280" s="1">
        <v>2.2042283562723299</v>
      </c>
      <c r="E280" s="9">
        <f t="shared" si="32"/>
        <v>16.468658804252645</v>
      </c>
      <c r="F280" s="3">
        <f t="shared" si="33"/>
        <v>4.4084567125446603E-2</v>
      </c>
      <c r="G280">
        <f t="shared" ca="1" si="34"/>
        <v>0</v>
      </c>
      <c r="H280" s="9">
        <f t="shared" ca="1" si="35"/>
        <v>0</v>
      </c>
      <c r="I280" s="12">
        <f t="shared" si="36"/>
        <v>0</v>
      </c>
      <c r="J280" s="30">
        <f t="shared" ca="1" si="37"/>
        <v>-16.468658804252645</v>
      </c>
      <c r="K280" s="45">
        <f t="shared" ca="1" si="38"/>
        <v>-5.7227366509097486</v>
      </c>
      <c r="L280" s="35">
        <f t="shared" si="39"/>
        <v>-590.8213548828187</v>
      </c>
      <c r="P280" s="9"/>
      <c r="Q280" s="26"/>
    </row>
    <row r="281" spans="1:17" x14ac:dyDescent="0.3">
      <c r="A281">
        <v>549</v>
      </c>
      <c r="B281" s="3">
        <v>1.3572258448421848</v>
      </c>
      <c r="C281" s="2">
        <v>84.018507107467201</v>
      </c>
      <c r="D281" s="1">
        <v>1.2038949624514466</v>
      </c>
      <c r="E281" s="9">
        <f t="shared" si="32"/>
        <v>21.0046267768668</v>
      </c>
      <c r="F281" s="3">
        <f t="shared" si="33"/>
        <v>2.4077899249028933E-2</v>
      </c>
      <c r="G281">
        <f t="shared" ca="1" si="34"/>
        <v>1</v>
      </c>
      <c r="H281" s="9">
        <f t="shared" ca="1" si="35"/>
        <v>25</v>
      </c>
      <c r="I281" s="12">
        <f t="shared" si="36"/>
        <v>0</v>
      </c>
      <c r="J281" s="30">
        <f t="shared" ca="1" si="37"/>
        <v>3.9953732231331998</v>
      </c>
      <c r="K281" s="45">
        <f t="shared" ca="1" si="38"/>
        <v>2.9437792083879546</v>
      </c>
      <c r="L281" s="35">
        <f t="shared" si="39"/>
        <v>-592.17858072766091</v>
      </c>
      <c r="P281" s="9"/>
      <c r="Q281" s="26"/>
    </row>
    <row r="282" spans="1:17" x14ac:dyDescent="0.3">
      <c r="A282">
        <v>688</v>
      </c>
      <c r="B282" s="3">
        <v>8.1679263733362717</v>
      </c>
      <c r="C282" s="2">
        <v>6.1620639586377539</v>
      </c>
      <c r="D282" s="1">
        <v>1.9064284298780265</v>
      </c>
      <c r="E282" s="9">
        <f t="shared" si="32"/>
        <v>1.5405159896594385</v>
      </c>
      <c r="F282" s="3">
        <f t="shared" si="33"/>
        <v>3.812856859756053E-2</v>
      </c>
      <c r="G282">
        <f t="shared" ca="1" si="34"/>
        <v>4</v>
      </c>
      <c r="H282" s="9">
        <f t="shared" ca="1" si="35"/>
        <v>100</v>
      </c>
      <c r="I282" s="12">
        <f t="shared" si="36"/>
        <v>0</v>
      </c>
      <c r="J282" s="30">
        <f t="shared" ca="1" si="37"/>
        <v>98.45948401034056</v>
      </c>
      <c r="K282" s="45">
        <f t="shared" ca="1" si="38"/>
        <v>12.05440395885006</v>
      </c>
      <c r="L282" s="35">
        <f t="shared" si="39"/>
        <v>-600.3465071009972</v>
      </c>
      <c r="P282" s="9"/>
      <c r="Q282" s="26"/>
    </row>
    <row r="283" spans="1:17" x14ac:dyDescent="0.3">
      <c r="A283">
        <v>676</v>
      </c>
      <c r="B283" s="3">
        <v>8.336932961903079</v>
      </c>
      <c r="C283" s="2">
        <v>6.3872650819654542</v>
      </c>
      <c r="D283" s="1">
        <v>2.2911526150144899</v>
      </c>
      <c r="E283" s="9">
        <f t="shared" si="32"/>
        <v>1.5968162704913635</v>
      </c>
      <c r="F283" s="3">
        <f t="shared" si="33"/>
        <v>4.5823052300289796E-2</v>
      </c>
      <c r="G283">
        <f t="shared" ca="1" si="34"/>
        <v>1</v>
      </c>
      <c r="H283" s="9">
        <f t="shared" ca="1" si="35"/>
        <v>25</v>
      </c>
      <c r="I283" s="12">
        <f t="shared" si="36"/>
        <v>0</v>
      </c>
      <c r="J283" s="30">
        <f t="shared" ca="1" si="37"/>
        <v>23.403183729508637</v>
      </c>
      <c r="K283" s="45">
        <f t="shared" ca="1" si="38"/>
        <v>2.8071694754477639</v>
      </c>
      <c r="L283" s="35">
        <f t="shared" si="39"/>
        <v>-608.68344006290033</v>
      </c>
      <c r="P283" s="9"/>
      <c r="Q283" s="26"/>
    </row>
    <row r="284" spans="1:17" x14ac:dyDescent="0.3">
      <c r="A284">
        <v>219</v>
      </c>
      <c r="B284" s="3">
        <v>3.2301307779373345</v>
      </c>
      <c r="C284" s="2">
        <v>64.124598766676854</v>
      </c>
      <c r="D284" s="1">
        <v>2.9072393647281762</v>
      </c>
      <c r="E284" s="9">
        <f t="shared" si="32"/>
        <v>16.031149691669214</v>
      </c>
      <c r="F284" s="3">
        <f t="shared" si="33"/>
        <v>5.8144787294563523E-2</v>
      </c>
      <c r="G284">
        <f t="shared" ca="1" si="34"/>
        <v>2</v>
      </c>
      <c r="H284" s="9">
        <f t="shared" ca="1" si="35"/>
        <v>50</v>
      </c>
      <c r="I284" s="12">
        <f t="shared" si="36"/>
        <v>0</v>
      </c>
      <c r="J284" s="30">
        <f t="shared" ca="1" si="37"/>
        <v>33.968850308330786</v>
      </c>
      <c r="K284" s="45">
        <f t="shared" ca="1" si="38"/>
        <v>10.516246134784142</v>
      </c>
      <c r="L284" s="35">
        <f t="shared" si="39"/>
        <v>-611.91357084083768</v>
      </c>
      <c r="P284" s="9"/>
      <c r="Q284" s="26"/>
    </row>
    <row r="285" spans="1:17" x14ac:dyDescent="0.3">
      <c r="A285">
        <v>1004</v>
      </c>
      <c r="B285" s="3">
        <v>1.6551848363266464</v>
      </c>
      <c r="C285" s="2">
        <v>81.82849066644296</v>
      </c>
      <c r="D285" s="1">
        <v>0.66866328616416282</v>
      </c>
      <c r="E285" s="9">
        <f t="shared" si="32"/>
        <v>20.45712266661074</v>
      </c>
      <c r="F285" s="3">
        <f t="shared" si="33"/>
        <v>1.3373265723283257E-2</v>
      </c>
      <c r="G285">
        <f t="shared" ca="1" si="34"/>
        <v>3</v>
      </c>
      <c r="H285" s="9">
        <f t="shared" ca="1" si="35"/>
        <v>75</v>
      </c>
      <c r="I285" s="12">
        <f t="shared" si="36"/>
        <v>0</v>
      </c>
      <c r="J285" s="30">
        <f t="shared" ca="1" si="37"/>
        <v>54.542877333389256</v>
      </c>
      <c r="K285" s="45">
        <f t="shared" ca="1" si="38"/>
        <v>32.952741069351703</v>
      </c>
      <c r="L285" s="35">
        <f t="shared" si="39"/>
        <v>-613.56875567716429</v>
      </c>
      <c r="P285" s="9"/>
      <c r="Q285" s="26"/>
    </row>
    <row r="286" spans="1:17" x14ac:dyDescent="0.3">
      <c r="A286">
        <v>442</v>
      </c>
      <c r="B286" s="3">
        <v>6.8237014421710338</v>
      </c>
      <c r="C286" s="2">
        <v>26.987874219060771</v>
      </c>
      <c r="D286" s="1">
        <v>2.9262458882152407</v>
      </c>
      <c r="E286" s="9">
        <f t="shared" si="32"/>
        <v>6.7469685547651927</v>
      </c>
      <c r="F286" s="3">
        <f t="shared" si="33"/>
        <v>5.8524917764304817E-2</v>
      </c>
      <c r="G286">
        <f t="shared" ca="1" si="34"/>
        <v>1</v>
      </c>
      <c r="H286" s="9">
        <f t="shared" ca="1" si="35"/>
        <v>25</v>
      </c>
      <c r="I286" s="12">
        <f t="shared" si="36"/>
        <v>0</v>
      </c>
      <c r="J286" s="30">
        <f t="shared" ca="1" si="37"/>
        <v>18.253031445234807</v>
      </c>
      <c r="K286" s="45">
        <f t="shared" ca="1" si="38"/>
        <v>2.6749457900413955</v>
      </c>
      <c r="L286" s="35">
        <f t="shared" si="39"/>
        <v>-620.39245711933529</v>
      </c>
      <c r="P286" s="9"/>
      <c r="Q286" s="26"/>
    </row>
    <row r="287" spans="1:17" x14ac:dyDescent="0.3">
      <c r="A287">
        <v>210</v>
      </c>
      <c r="B287" s="3">
        <v>7.9621559060366964</v>
      </c>
      <c r="C287" s="2">
        <v>15.762504913395659</v>
      </c>
      <c r="D287" s="1">
        <v>2.787926388417501</v>
      </c>
      <c r="E287" s="9">
        <f t="shared" si="32"/>
        <v>3.9406262283489149</v>
      </c>
      <c r="F287" s="3">
        <f t="shared" si="33"/>
        <v>5.5758527768350018E-2</v>
      </c>
      <c r="G287">
        <f t="shared" ca="1" si="34"/>
        <v>0</v>
      </c>
      <c r="H287" s="9">
        <f t="shared" ca="1" si="35"/>
        <v>0</v>
      </c>
      <c r="I287" s="12">
        <f t="shared" si="36"/>
        <v>0</v>
      </c>
      <c r="J287" s="30">
        <f t="shared" ca="1" si="37"/>
        <v>-3.9406262283489149</v>
      </c>
      <c r="K287" s="45">
        <f t="shared" ca="1" si="38"/>
        <v>-0.49491950105639554</v>
      </c>
      <c r="L287" s="35">
        <f t="shared" si="39"/>
        <v>-628.35461302537203</v>
      </c>
      <c r="P287" s="9"/>
      <c r="Q287" s="26"/>
    </row>
    <row r="288" spans="1:17" x14ac:dyDescent="0.3">
      <c r="A288">
        <v>87</v>
      </c>
      <c r="B288" s="3">
        <v>7.578015698568354</v>
      </c>
      <c r="C288" s="2">
        <v>21.101649311136384</v>
      </c>
      <c r="D288" s="1">
        <v>3.0772921554933967</v>
      </c>
      <c r="E288" s="9">
        <f t="shared" si="32"/>
        <v>5.2754123277840961</v>
      </c>
      <c r="F288" s="3">
        <f t="shared" si="33"/>
        <v>6.1545843109867937E-2</v>
      </c>
      <c r="G288">
        <f t="shared" ca="1" si="34"/>
        <v>0</v>
      </c>
      <c r="H288" s="9">
        <f t="shared" ca="1" si="35"/>
        <v>0</v>
      </c>
      <c r="I288" s="12">
        <f t="shared" si="36"/>
        <v>0</v>
      </c>
      <c r="J288" s="30">
        <f t="shared" ca="1" si="37"/>
        <v>-5.2754123277840961</v>
      </c>
      <c r="K288" s="45">
        <f t="shared" ca="1" si="38"/>
        <v>-0.69614692521430543</v>
      </c>
      <c r="L288" s="35">
        <f t="shared" si="39"/>
        <v>-635.93262872394041</v>
      </c>
      <c r="P288" s="9"/>
      <c r="Q288" s="26"/>
    </row>
    <row r="289" spans="1:17" x14ac:dyDescent="0.3">
      <c r="A289">
        <v>697</v>
      </c>
      <c r="B289" s="3">
        <v>9.5989039155543345</v>
      </c>
      <c r="C289" s="2">
        <v>0.17494846771503036</v>
      </c>
      <c r="D289" s="1">
        <v>2.6995400017259548</v>
      </c>
      <c r="E289" s="9">
        <f t="shared" si="32"/>
        <v>4.3737116928757591E-2</v>
      </c>
      <c r="F289" s="3">
        <f t="shared" si="33"/>
        <v>5.3990800034519094E-2</v>
      </c>
      <c r="G289">
        <f t="shared" ca="1" si="34"/>
        <v>0</v>
      </c>
      <c r="H289" s="9">
        <f t="shared" ca="1" si="35"/>
        <v>0</v>
      </c>
      <c r="I289" s="12">
        <f t="shared" si="36"/>
        <v>0</v>
      </c>
      <c r="J289" s="30">
        <f t="shared" ca="1" si="37"/>
        <v>-4.3737116928757591E-2</v>
      </c>
      <c r="K289" s="45">
        <f t="shared" ca="1" si="38"/>
        <v>-4.5564699171417615E-3</v>
      </c>
      <c r="L289" s="35">
        <f t="shared" si="39"/>
        <v>-645.5315326394948</v>
      </c>
      <c r="P289" s="9"/>
      <c r="Q289" s="26"/>
    </row>
    <row r="290" spans="1:17" x14ac:dyDescent="0.3">
      <c r="A290">
        <v>552</v>
      </c>
      <c r="B290" s="3">
        <v>7.9125297320670285</v>
      </c>
      <c r="C290" s="2">
        <v>19.310801982175718</v>
      </c>
      <c r="D290" s="1">
        <v>2.8415245242834861</v>
      </c>
      <c r="E290" s="9">
        <f t="shared" si="32"/>
        <v>4.8277004955439295</v>
      </c>
      <c r="F290" s="3">
        <f t="shared" si="33"/>
        <v>5.6830490485669724E-2</v>
      </c>
      <c r="G290">
        <f t="shared" ca="1" si="34"/>
        <v>1</v>
      </c>
      <c r="H290" s="9">
        <f t="shared" ca="1" si="35"/>
        <v>25</v>
      </c>
      <c r="I290" s="12">
        <f t="shared" si="36"/>
        <v>0</v>
      </c>
      <c r="J290" s="30">
        <f t="shared" ca="1" si="37"/>
        <v>20.17229950445607</v>
      </c>
      <c r="K290" s="45">
        <f t="shared" ca="1" si="38"/>
        <v>2.5494121586303806</v>
      </c>
      <c r="L290" s="35">
        <f t="shared" si="39"/>
        <v>-653.44406237156181</v>
      </c>
      <c r="P290" s="9"/>
      <c r="Q290" s="26"/>
    </row>
    <row r="291" spans="1:17" x14ac:dyDescent="0.3">
      <c r="A291">
        <v>89</v>
      </c>
      <c r="B291" s="3">
        <v>6.561145918502306</v>
      </c>
      <c r="C291" s="2">
        <v>35.119819662847085</v>
      </c>
      <c r="D291" s="1">
        <v>2.793917232003754</v>
      </c>
      <c r="E291" s="9">
        <f t="shared" si="32"/>
        <v>8.7799549157117713</v>
      </c>
      <c r="F291" s="3">
        <f t="shared" si="33"/>
        <v>5.587834464007508E-2</v>
      </c>
      <c r="G291">
        <f t="shared" ca="1" si="34"/>
        <v>1</v>
      </c>
      <c r="H291" s="9">
        <f t="shared" ca="1" si="35"/>
        <v>25</v>
      </c>
      <c r="I291" s="12">
        <f t="shared" si="36"/>
        <v>0</v>
      </c>
      <c r="J291" s="30">
        <f t="shared" ca="1" si="37"/>
        <v>16.22004508428823</v>
      </c>
      <c r="K291" s="45">
        <f t="shared" ca="1" si="38"/>
        <v>2.4721360088255335</v>
      </c>
      <c r="L291" s="35">
        <f t="shared" si="39"/>
        <v>-660.00520829006416</v>
      </c>
      <c r="P291" s="9"/>
      <c r="Q291" s="26"/>
    </row>
    <row r="292" spans="1:17" x14ac:dyDescent="0.3">
      <c r="A292">
        <v>914</v>
      </c>
      <c r="B292" s="3">
        <v>4.3693233940604834</v>
      </c>
      <c r="C292" s="2">
        <v>57.544736176699118</v>
      </c>
      <c r="D292" s="1">
        <v>2.496607569643376</v>
      </c>
      <c r="E292" s="9">
        <f t="shared" si="32"/>
        <v>14.386184044174779</v>
      </c>
      <c r="F292" s="3">
        <f t="shared" si="33"/>
        <v>4.9932151392867524E-2</v>
      </c>
      <c r="G292">
        <f t="shared" ca="1" si="34"/>
        <v>2</v>
      </c>
      <c r="H292" s="9">
        <f t="shared" ca="1" si="35"/>
        <v>50</v>
      </c>
      <c r="I292" s="12">
        <f t="shared" si="36"/>
        <v>0</v>
      </c>
      <c r="J292" s="30">
        <f t="shared" ca="1" si="37"/>
        <v>35.613815955825217</v>
      </c>
      <c r="K292" s="45">
        <f t="shared" ca="1" si="38"/>
        <v>8.1508766332648861</v>
      </c>
      <c r="L292" s="35">
        <f t="shared" si="39"/>
        <v>-664.37453168412469</v>
      </c>
      <c r="P292" s="9"/>
      <c r="Q292" s="26"/>
    </row>
    <row r="293" spans="1:17" x14ac:dyDescent="0.3">
      <c r="A293">
        <v>261</v>
      </c>
      <c r="B293" s="3">
        <v>0.80776163024559366</v>
      </c>
      <c r="C293" s="2">
        <v>92.17702313595197</v>
      </c>
      <c r="D293" s="1">
        <v>1.4567744320644436</v>
      </c>
      <c r="E293" s="9">
        <f t="shared" si="32"/>
        <v>23.044255783987992</v>
      </c>
      <c r="F293" s="3">
        <f t="shared" si="33"/>
        <v>2.913548864128887E-2</v>
      </c>
      <c r="G293">
        <f t="shared" ca="1" si="34"/>
        <v>1</v>
      </c>
      <c r="H293" s="9">
        <f t="shared" ca="1" si="35"/>
        <v>25</v>
      </c>
      <c r="I293" s="12">
        <f t="shared" si="36"/>
        <v>0</v>
      </c>
      <c r="J293" s="30">
        <f t="shared" ca="1" si="37"/>
        <v>1.9557442160120075</v>
      </c>
      <c r="K293" s="45">
        <f t="shared" ca="1" si="38"/>
        <v>2.4211897950851897</v>
      </c>
      <c r="L293" s="35">
        <f t="shared" si="39"/>
        <v>-665.18229331437033</v>
      </c>
      <c r="P293" s="9"/>
      <c r="Q293" s="26"/>
    </row>
    <row r="294" spans="1:17" x14ac:dyDescent="0.3">
      <c r="A294">
        <v>18</v>
      </c>
      <c r="B294" s="3">
        <v>4.0791284832946362</v>
      </c>
      <c r="C294" s="2">
        <v>62.080306641899455</v>
      </c>
      <c r="D294" s="1">
        <v>2.6252338807744091</v>
      </c>
      <c r="E294" s="9">
        <f t="shared" si="32"/>
        <v>15.520076660474864</v>
      </c>
      <c r="F294" s="3">
        <f t="shared" si="33"/>
        <v>5.2504677615488181E-2</v>
      </c>
      <c r="G294">
        <f t="shared" ca="1" si="34"/>
        <v>4</v>
      </c>
      <c r="H294" s="9">
        <f t="shared" ca="1" si="35"/>
        <v>100</v>
      </c>
      <c r="I294" s="12">
        <f t="shared" si="36"/>
        <v>0</v>
      </c>
      <c r="J294" s="30">
        <f t="shared" ca="1" si="37"/>
        <v>84.479923339525129</v>
      </c>
      <c r="K294" s="45">
        <f t="shared" ca="1" si="38"/>
        <v>20.710287426713332</v>
      </c>
      <c r="L294" s="35">
        <f t="shared" si="39"/>
        <v>-669.26142179766498</v>
      </c>
      <c r="P294" s="9"/>
      <c r="Q294" s="26"/>
    </row>
    <row r="295" spans="1:17" x14ac:dyDescent="0.3">
      <c r="A295">
        <v>498</v>
      </c>
      <c r="B295" s="3">
        <v>1.9104088844112177</v>
      </c>
      <c r="C295" s="2">
        <v>82.940284101775546</v>
      </c>
      <c r="D295" s="1">
        <v>2.8432320106605471</v>
      </c>
      <c r="E295" s="9">
        <f t="shared" si="32"/>
        <v>20.735071025443887</v>
      </c>
      <c r="F295" s="3">
        <f t="shared" si="33"/>
        <v>5.6864640213210943E-2</v>
      </c>
      <c r="G295">
        <f t="shared" ca="1" si="34"/>
        <v>4</v>
      </c>
      <c r="H295" s="9">
        <f t="shared" ca="1" si="35"/>
        <v>100</v>
      </c>
      <c r="I295" s="12">
        <f t="shared" si="36"/>
        <v>0</v>
      </c>
      <c r="J295" s="30">
        <f t="shared" ca="1" si="37"/>
        <v>79.264928974556113</v>
      </c>
      <c r="K295" s="45">
        <f t="shared" ca="1" si="38"/>
        <v>41.491080585602141</v>
      </c>
      <c r="L295" s="35">
        <f t="shared" si="39"/>
        <v>-671.17183068207623</v>
      </c>
      <c r="P295" s="9"/>
      <c r="Q295" s="26"/>
    </row>
    <row r="296" spans="1:17" x14ac:dyDescent="0.3">
      <c r="A296">
        <v>32</v>
      </c>
      <c r="B296" s="3">
        <v>2.703574087155304</v>
      </c>
      <c r="C296" s="2">
        <v>76.927936219593718</v>
      </c>
      <c r="D296" s="1">
        <v>2.1202749751241354</v>
      </c>
      <c r="E296" s="9">
        <f t="shared" si="32"/>
        <v>19.23198405489843</v>
      </c>
      <c r="F296" s="3">
        <f t="shared" si="33"/>
        <v>4.2405499502482707E-2</v>
      </c>
      <c r="G296">
        <f t="shared" ca="1" si="34"/>
        <v>1</v>
      </c>
      <c r="H296" s="9">
        <f t="shared" ca="1" si="35"/>
        <v>25</v>
      </c>
      <c r="I296" s="12">
        <f t="shared" si="36"/>
        <v>0</v>
      </c>
      <c r="J296" s="30">
        <f t="shared" ca="1" si="37"/>
        <v>5.7680159451015705</v>
      </c>
      <c r="K296" s="45">
        <f t="shared" ca="1" si="38"/>
        <v>2.133478040237716</v>
      </c>
      <c r="L296" s="35">
        <f t="shared" si="39"/>
        <v>-673.87540476923152</v>
      </c>
      <c r="P296" s="9"/>
      <c r="Q296" s="26"/>
    </row>
    <row r="297" spans="1:17" x14ac:dyDescent="0.3">
      <c r="A297">
        <v>262</v>
      </c>
      <c r="B297" s="3">
        <v>9.6269990660610851</v>
      </c>
      <c r="C297" s="2">
        <v>21.585203079098626</v>
      </c>
      <c r="D297" s="1">
        <v>3.2157035876028734</v>
      </c>
      <c r="E297" s="9">
        <f t="shared" si="32"/>
        <v>5.3963007697746566</v>
      </c>
      <c r="F297" s="3">
        <f t="shared" si="33"/>
        <v>6.4314071752057472E-2</v>
      </c>
      <c r="G297">
        <f t="shared" ca="1" si="34"/>
        <v>5</v>
      </c>
      <c r="H297" s="9">
        <f t="shared" ca="1" si="35"/>
        <v>125</v>
      </c>
      <c r="I297" s="12">
        <f t="shared" si="36"/>
        <v>0</v>
      </c>
      <c r="J297" s="30">
        <f t="shared" ca="1" si="37"/>
        <v>119.60369923022535</v>
      </c>
      <c r="K297" s="45">
        <f t="shared" ca="1" si="38"/>
        <v>12.423778002833187</v>
      </c>
      <c r="L297" s="35">
        <f t="shared" si="39"/>
        <v>-683.50240383529263</v>
      </c>
      <c r="P297" s="9"/>
      <c r="Q297" s="26"/>
    </row>
    <row r="298" spans="1:17" x14ac:dyDescent="0.3">
      <c r="A298">
        <v>664</v>
      </c>
      <c r="B298" s="3">
        <v>3.0188261566051757</v>
      </c>
      <c r="C298" s="2">
        <v>75.737083959413738</v>
      </c>
      <c r="D298" s="1">
        <v>0.74962039381158352</v>
      </c>
      <c r="E298" s="9">
        <f t="shared" si="32"/>
        <v>18.934270989853434</v>
      </c>
      <c r="F298" s="3">
        <f t="shared" si="33"/>
        <v>1.499240787623167E-2</v>
      </c>
      <c r="G298">
        <f t="shared" ca="1" si="34"/>
        <v>1</v>
      </c>
      <c r="H298" s="9">
        <f t="shared" ca="1" si="35"/>
        <v>25</v>
      </c>
      <c r="I298" s="12">
        <f t="shared" si="36"/>
        <v>0</v>
      </c>
      <c r="J298" s="30">
        <f t="shared" ca="1" si="37"/>
        <v>6.0657290101465655</v>
      </c>
      <c r="K298" s="45">
        <f t="shared" ca="1" si="38"/>
        <v>2.0093005345388248</v>
      </c>
      <c r="L298" s="35">
        <f t="shared" si="39"/>
        <v>-686.52122999189783</v>
      </c>
      <c r="P298" s="9"/>
      <c r="Q298" s="26"/>
    </row>
    <row r="299" spans="1:17" x14ac:dyDescent="0.3">
      <c r="A299">
        <v>777</v>
      </c>
      <c r="B299" s="3">
        <v>2.671789963568163</v>
      </c>
      <c r="C299" s="2">
        <v>79.960129684216227</v>
      </c>
      <c r="D299" s="1">
        <v>0.54849940582999301</v>
      </c>
      <c r="E299" s="9">
        <f t="shared" si="32"/>
        <v>19.990032421054057</v>
      </c>
      <c r="F299" s="3">
        <f t="shared" si="33"/>
        <v>1.096998811659986E-2</v>
      </c>
      <c r="G299">
        <f t="shared" ca="1" si="34"/>
        <v>0</v>
      </c>
      <c r="H299" s="9">
        <f t="shared" ca="1" si="35"/>
        <v>0</v>
      </c>
      <c r="I299" s="12">
        <f t="shared" si="36"/>
        <v>0</v>
      </c>
      <c r="J299" s="30">
        <f t="shared" ca="1" si="37"/>
        <v>-19.990032421054057</v>
      </c>
      <c r="K299" s="45">
        <f t="shared" ca="1" si="38"/>
        <v>-7.4818876834006298</v>
      </c>
      <c r="L299" s="35">
        <f t="shared" si="39"/>
        <v>-689.19301995546596</v>
      </c>
      <c r="P299" s="9"/>
      <c r="Q299" s="26"/>
    </row>
    <row r="300" spans="1:17" x14ac:dyDescent="0.3">
      <c r="A300">
        <v>130</v>
      </c>
      <c r="B300" s="3">
        <v>2.9822966222881653</v>
      </c>
      <c r="C300" s="2">
        <v>77.672498664792172</v>
      </c>
      <c r="D300" s="1">
        <v>1.7810274119422222</v>
      </c>
      <c r="E300" s="9">
        <f t="shared" si="32"/>
        <v>19.418124666198043</v>
      </c>
      <c r="F300" s="3">
        <f t="shared" si="33"/>
        <v>3.5620548238844446E-2</v>
      </c>
      <c r="G300">
        <f t="shared" ca="1" si="34"/>
        <v>2</v>
      </c>
      <c r="H300" s="9">
        <f t="shared" ca="1" si="35"/>
        <v>50</v>
      </c>
      <c r="I300" s="12">
        <f t="shared" si="36"/>
        <v>0</v>
      </c>
      <c r="J300" s="30">
        <f t="shared" ca="1" si="37"/>
        <v>30.581875333801957</v>
      </c>
      <c r="K300" s="45">
        <f t="shared" ca="1" si="38"/>
        <v>10.254471371240742</v>
      </c>
      <c r="L300" s="35">
        <f t="shared" si="39"/>
        <v>-692.17531657775407</v>
      </c>
      <c r="P300" s="9"/>
      <c r="Q300" s="26"/>
    </row>
    <row r="301" spans="1:17" x14ac:dyDescent="0.3">
      <c r="A301">
        <v>770</v>
      </c>
      <c r="B301" s="3">
        <v>8.3897178910121344</v>
      </c>
      <c r="C301" s="2">
        <v>43.774260615812047</v>
      </c>
      <c r="D301" s="1">
        <v>2.9818064884083837</v>
      </c>
      <c r="E301" s="9">
        <f t="shared" si="32"/>
        <v>10.943565153953012</v>
      </c>
      <c r="F301" s="3">
        <f t="shared" si="33"/>
        <v>5.9636129768167678E-2</v>
      </c>
      <c r="G301">
        <f t="shared" ca="1" si="34"/>
        <v>5</v>
      </c>
      <c r="H301" s="9">
        <f t="shared" ca="1" si="35"/>
        <v>125</v>
      </c>
      <c r="I301" s="12">
        <f t="shared" si="36"/>
        <v>0</v>
      </c>
      <c r="J301" s="30">
        <f t="shared" ca="1" si="37"/>
        <v>114.05643484604698</v>
      </c>
      <c r="K301" s="45">
        <f t="shared" ca="1" si="38"/>
        <v>13.594787849569425</v>
      </c>
      <c r="L301" s="35">
        <f t="shared" si="39"/>
        <v>-700.56503446876616</v>
      </c>
      <c r="P301" s="9"/>
      <c r="Q301" s="26"/>
    </row>
    <row r="302" spans="1:17" x14ac:dyDescent="0.3">
      <c r="A302">
        <v>415</v>
      </c>
      <c r="B302" s="3">
        <v>0.70067273284080134</v>
      </c>
      <c r="C302" s="2">
        <v>95.353208893257985</v>
      </c>
      <c r="D302" s="1">
        <v>1.0568472590055649</v>
      </c>
      <c r="E302" s="9">
        <f t="shared" si="32"/>
        <v>23.838302223314496</v>
      </c>
      <c r="F302" s="3">
        <f t="shared" si="33"/>
        <v>2.1136945180111298E-2</v>
      </c>
      <c r="G302">
        <f t="shared" ca="1" si="34"/>
        <v>0</v>
      </c>
      <c r="H302" s="9">
        <f t="shared" ca="1" si="35"/>
        <v>0</v>
      </c>
      <c r="I302" s="12">
        <f t="shared" si="36"/>
        <v>0</v>
      </c>
      <c r="J302" s="30">
        <f t="shared" ca="1" si="37"/>
        <v>-23.838302223314496</v>
      </c>
      <c r="K302" s="45">
        <f t="shared" ca="1" si="38"/>
        <v>-34.022020703823728</v>
      </c>
      <c r="L302" s="35">
        <f t="shared" si="39"/>
        <v>-701.26570720160692</v>
      </c>
      <c r="P302" s="9"/>
      <c r="Q302" s="26"/>
    </row>
    <row r="303" spans="1:17" x14ac:dyDescent="0.3">
      <c r="A303">
        <v>580</v>
      </c>
      <c r="B303" s="3">
        <v>8.860693682664639</v>
      </c>
      <c r="C303" s="2">
        <v>41.472093133350455</v>
      </c>
      <c r="D303" s="1">
        <v>2.7936637729072373</v>
      </c>
      <c r="E303" s="9">
        <f t="shared" si="32"/>
        <v>10.368023283337614</v>
      </c>
      <c r="F303" s="3">
        <f t="shared" si="33"/>
        <v>5.5873275458144744E-2</v>
      </c>
      <c r="G303">
        <f t="shared" ca="1" si="34"/>
        <v>1</v>
      </c>
      <c r="H303" s="9">
        <f t="shared" ca="1" si="35"/>
        <v>25</v>
      </c>
      <c r="I303" s="12">
        <f t="shared" si="36"/>
        <v>0</v>
      </c>
      <c r="J303" s="30">
        <f t="shared" ca="1" si="37"/>
        <v>14.631976716662386</v>
      </c>
      <c r="K303" s="45">
        <f t="shared" ca="1" si="38"/>
        <v>1.6513353514622542</v>
      </c>
      <c r="L303" s="35">
        <f t="shared" si="39"/>
        <v>-710.12640088427156</v>
      </c>
      <c r="P303" s="9"/>
      <c r="Q303" s="26"/>
    </row>
    <row r="304" spans="1:17" x14ac:dyDescent="0.3">
      <c r="A304">
        <v>47</v>
      </c>
      <c r="B304" s="3">
        <v>2.491868862856804</v>
      </c>
      <c r="C304" s="2">
        <v>83.543252086202173</v>
      </c>
      <c r="D304" s="1">
        <v>1.8616229357881728</v>
      </c>
      <c r="E304" s="9">
        <f t="shared" si="32"/>
        <v>20.885813021550543</v>
      </c>
      <c r="F304" s="3">
        <f t="shared" si="33"/>
        <v>3.7232458715763458E-2</v>
      </c>
      <c r="G304">
        <f t="shared" ca="1" si="34"/>
        <v>3</v>
      </c>
      <c r="H304" s="9">
        <f t="shared" ca="1" si="35"/>
        <v>75</v>
      </c>
      <c r="I304" s="12">
        <f t="shared" si="36"/>
        <v>0</v>
      </c>
      <c r="J304" s="30">
        <f t="shared" ca="1" si="37"/>
        <v>54.114186978449453</v>
      </c>
      <c r="K304" s="45">
        <f t="shared" ca="1" si="38"/>
        <v>21.716306096625896</v>
      </c>
      <c r="L304" s="35">
        <f t="shared" si="39"/>
        <v>-712.61826974712835</v>
      </c>
      <c r="P304" s="9"/>
      <c r="Q304" s="26"/>
    </row>
    <row r="305" spans="1:17" x14ac:dyDescent="0.3">
      <c r="A305">
        <v>317</v>
      </c>
      <c r="B305" s="3">
        <v>2.375879976802727</v>
      </c>
      <c r="C305" s="2">
        <v>85.288951892263583</v>
      </c>
      <c r="D305" s="1">
        <v>0.42659838856682947</v>
      </c>
      <c r="E305" s="9">
        <f t="shared" si="32"/>
        <v>21.322237973065896</v>
      </c>
      <c r="F305" s="3">
        <f t="shared" si="33"/>
        <v>8.5319677713365898E-3</v>
      </c>
      <c r="G305">
        <f t="shared" ca="1" si="34"/>
        <v>0</v>
      </c>
      <c r="H305" s="9">
        <f t="shared" ca="1" si="35"/>
        <v>0</v>
      </c>
      <c r="I305" s="12">
        <f t="shared" si="36"/>
        <v>0</v>
      </c>
      <c r="J305" s="30">
        <f t="shared" ca="1" si="37"/>
        <v>-21.322237973065896</v>
      </c>
      <c r="K305" s="45">
        <f t="shared" ca="1" si="38"/>
        <v>-8.9744592240554564</v>
      </c>
      <c r="L305" s="35">
        <f t="shared" si="39"/>
        <v>-714.99414972393106</v>
      </c>
      <c r="P305" s="9"/>
      <c r="Q305" s="26"/>
    </row>
    <row r="306" spans="1:17" x14ac:dyDescent="0.3">
      <c r="A306">
        <v>796</v>
      </c>
      <c r="B306" s="3">
        <v>1.8426413365189798</v>
      </c>
      <c r="C306" s="2">
        <v>88.953729975202123</v>
      </c>
      <c r="D306" s="1">
        <v>0.87201116677975232</v>
      </c>
      <c r="E306" s="9">
        <f t="shared" si="32"/>
        <v>22.238432493800531</v>
      </c>
      <c r="F306" s="3">
        <f t="shared" si="33"/>
        <v>1.7440223335595046E-2</v>
      </c>
      <c r="G306">
        <f t="shared" ca="1" si="34"/>
        <v>0</v>
      </c>
      <c r="H306" s="9">
        <f t="shared" ca="1" si="35"/>
        <v>0</v>
      </c>
      <c r="I306" s="12">
        <f t="shared" si="36"/>
        <v>0</v>
      </c>
      <c r="J306" s="30">
        <f t="shared" ca="1" si="37"/>
        <v>-22.238432493800531</v>
      </c>
      <c r="K306" s="45">
        <f t="shared" ca="1" si="38"/>
        <v>-12.068779774479713</v>
      </c>
      <c r="L306" s="35">
        <f t="shared" si="39"/>
        <v>-716.83679106045008</v>
      </c>
      <c r="P306" s="9"/>
      <c r="Q306" s="26"/>
    </row>
    <row r="307" spans="1:17" x14ac:dyDescent="0.3">
      <c r="A307">
        <v>866</v>
      </c>
      <c r="B307" s="3">
        <v>2.6350399785298926</v>
      </c>
      <c r="C307" s="2">
        <v>85.066456875315552</v>
      </c>
      <c r="D307" s="1">
        <v>1.3373020077115685</v>
      </c>
      <c r="E307" s="9">
        <f t="shared" si="32"/>
        <v>21.266614218828888</v>
      </c>
      <c r="F307" s="3">
        <f t="shared" si="33"/>
        <v>2.6746040154231369E-2</v>
      </c>
      <c r="G307">
        <f t="shared" ca="1" si="34"/>
        <v>0</v>
      </c>
      <c r="H307" s="9">
        <f t="shared" ca="1" si="35"/>
        <v>0</v>
      </c>
      <c r="I307" s="12">
        <f t="shared" si="36"/>
        <v>0</v>
      </c>
      <c r="J307" s="30">
        <f t="shared" ca="1" si="37"/>
        <v>-21.266614218828888</v>
      </c>
      <c r="K307" s="45">
        <f t="shared" ca="1" si="38"/>
        <v>-8.0706988858262729</v>
      </c>
      <c r="L307" s="35">
        <f t="shared" si="39"/>
        <v>-719.47183103897999</v>
      </c>
      <c r="P307" s="9"/>
      <c r="Q307" s="26"/>
    </row>
    <row r="308" spans="1:17" x14ac:dyDescent="0.3">
      <c r="A308">
        <v>38</v>
      </c>
      <c r="B308" s="3">
        <v>4.99539812661091</v>
      </c>
      <c r="C308" s="2">
        <v>72.285613217040463</v>
      </c>
      <c r="D308" s="1">
        <v>3.1201980237539941</v>
      </c>
      <c r="E308" s="9">
        <f t="shared" si="32"/>
        <v>18.071403304260116</v>
      </c>
      <c r="F308" s="3">
        <f t="shared" si="33"/>
        <v>6.2403960475079887E-2</v>
      </c>
      <c r="G308">
        <f t="shared" ca="1" si="34"/>
        <v>1</v>
      </c>
      <c r="H308" s="9">
        <f t="shared" ca="1" si="35"/>
        <v>25</v>
      </c>
      <c r="I308" s="12">
        <f t="shared" si="36"/>
        <v>0</v>
      </c>
      <c r="J308" s="30">
        <f t="shared" ca="1" si="37"/>
        <v>6.9285966957398841</v>
      </c>
      <c r="K308" s="45">
        <f t="shared" ca="1" si="38"/>
        <v>1.3869958950480166</v>
      </c>
      <c r="L308" s="35">
        <f t="shared" si="39"/>
        <v>-724.46722916559088</v>
      </c>
      <c r="P308" s="9"/>
      <c r="Q308" s="26"/>
    </row>
    <row r="309" spans="1:17" x14ac:dyDescent="0.3">
      <c r="A309">
        <v>618</v>
      </c>
      <c r="B309" s="3">
        <v>1.9363829889535311</v>
      </c>
      <c r="C309" s="2">
        <v>89.519498797185008</v>
      </c>
      <c r="D309" s="1">
        <v>0.99037553406235113</v>
      </c>
      <c r="E309" s="9">
        <f t="shared" si="32"/>
        <v>22.379874699296252</v>
      </c>
      <c r="F309" s="3">
        <f t="shared" si="33"/>
        <v>1.9807510681247024E-2</v>
      </c>
      <c r="G309">
        <f t="shared" ca="1" si="34"/>
        <v>0</v>
      </c>
      <c r="H309" s="9">
        <f t="shared" ca="1" si="35"/>
        <v>0</v>
      </c>
      <c r="I309" s="12">
        <f t="shared" si="36"/>
        <v>0</v>
      </c>
      <c r="J309" s="30">
        <f t="shared" ca="1" si="37"/>
        <v>-22.379874699296252</v>
      </c>
      <c r="K309" s="45">
        <f t="shared" ca="1" si="38"/>
        <v>-11.557566259860032</v>
      </c>
      <c r="L309" s="35">
        <f t="shared" si="39"/>
        <v>-726.40361215454436</v>
      </c>
      <c r="P309" s="9"/>
      <c r="Q309" s="26"/>
    </row>
    <row r="310" spans="1:17" x14ac:dyDescent="0.3">
      <c r="A310">
        <v>766</v>
      </c>
      <c r="B310" s="3">
        <v>1.0911776982561749</v>
      </c>
      <c r="C310" s="2">
        <v>94.268184033534979</v>
      </c>
      <c r="D310" s="1">
        <v>0.89277196797294156</v>
      </c>
      <c r="E310" s="9">
        <f t="shared" si="32"/>
        <v>23.567046008383745</v>
      </c>
      <c r="F310" s="3">
        <f t="shared" si="33"/>
        <v>1.7855439359458831E-2</v>
      </c>
      <c r="G310">
        <f t="shared" ca="1" si="34"/>
        <v>0</v>
      </c>
      <c r="H310" s="9">
        <f t="shared" ca="1" si="35"/>
        <v>0</v>
      </c>
      <c r="I310" s="12">
        <f t="shared" si="36"/>
        <v>0</v>
      </c>
      <c r="J310" s="30">
        <f t="shared" ca="1" si="37"/>
        <v>-23.567046008383745</v>
      </c>
      <c r="K310" s="45">
        <f t="shared" ca="1" si="38"/>
        <v>-21.597807622027599</v>
      </c>
      <c r="L310" s="35">
        <f t="shared" si="39"/>
        <v>-727.49478985280052</v>
      </c>
      <c r="P310" s="9"/>
      <c r="Q310" s="26"/>
    </row>
    <row r="311" spans="1:17" x14ac:dyDescent="0.3">
      <c r="A311">
        <v>627</v>
      </c>
      <c r="B311" s="3">
        <v>3.7651571273749482</v>
      </c>
      <c r="C311" s="2">
        <v>80.822747481037823</v>
      </c>
      <c r="D311" s="1">
        <v>2.4989221908616703</v>
      </c>
      <c r="E311" s="9">
        <f t="shared" si="32"/>
        <v>20.205686870259456</v>
      </c>
      <c r="F311" s="3">
        <f t="shared" si="33"/>
        <v>4.997844381723341E-2</v>
      </c>
      <c r="G311">
        <f t="shared" ca="1" si="34"/>
        <v>4</v>
      </c>
      <c r="H311" s="9">
        <f t="shared" ca="1" si="35"/>
        <v>100</v>
      </c>
      <c r="I311" s="12">
        <f t="shared" si="36"/>
        <v>0</v>
      </c>
      <c r="J311" s="30">
        <f t="shared" ca="1" si="37"/>
        <v>79.794313129740544</v>
      </c>
      <c r="K311" s="45">
        <f t="shared" ca="1" si="38"/>
        <v>21.192824211661204</v>
      </c>
      <c r="L311" s="35">
        <f t="shared" si="39"/>
        <v>-731.25994698017553</v>
      </c>
      <c r="P311" s="9"/>
      <c r="Q311" s="26"/>
    </row>
    <row r="312" spans="1:17" x14ac:dyDescent="0.3">
      <c r="A312">
        <v>840</v>
      </c>
      <c r="B312" s="3">
        <v>7.3690581900459593</v>
      </c>
      <c r="C312" s="2">
        <v>63.626479588360816</v>
      </c>
      <c r="D312" s="1">
        <v>2.7627054276567025</v>
      </c>
      <c r="E312" s="9">
        <f t="shared" si="32"/>
        <v>15.906619897090204</v>
      </c>
      <c r="F312" s="3">
        <f t="shared" si="33"/>
        <v>5.5254108553134049E-2</v>
      </c>
      <c r="G312">
        <f t="shared" ca="1" si="34"/>
        <v>4</v>
      </c>
      <c r="H312" s="9">
        <f t="shared" ca="1" si="35"/>
        <v>100</v>
      </c>
      <c r="I312" s="12">
        <f t="shared" si="36"/>
        <v>0</v>
      </c>
      <c r="J312" s="30">
        <f t="shared" ca="1" si="37"/>
        <v>84.093380102909791</v>
      </c>
      <c r="K312" s="45">
        <f t="shared" ca="1" si="38"/>
        <v>11.411686260871461</v>
      </c>
      <c r="L312" s="35">
        <f t="shared" si="39"/>
        <v>-738.62900517022149</v>
      </c>
      <c r="P312" s="9"/>
      <c r="Q312" s="26"/>
    </row>
    <row r="313" spans="1:17" x14ac:dyDescent="0.3">
      <c r="A313">
        <v>1088</v>
      </c>
      <c r="B313" s="3">
        <v>3.4154874991074644</v>
      </c>
      <c r="C313" s="2">
        <v>84.462751139097776</v>
      </c>
      <c r="D313" s="1">
        <v>2.3029474391630611</v>
      </c>
      <c r="E313" s="9">
        <f t="shared" si="32"/>
        <v>21.115687784774444</v>
      </c>
      <c r="F313" s="3">
        <f t="shared" si="33"/>
        <v>4.6058948783261222E-2</v>
      </c>
      <c r="G313">
        <f t="shared" ca="1" si="34"/>
        <v>2</v>
      </c>
      <c r="H313" s="9">
        <f t="shared" ca="1" si="35"/>
        <v>50</v>
      </c>
      <c r="I313" s="12">
        <f t="shared" si="36"/>
        <v>0</v>
      </c>
      <c r="J313" s="30">
        <f t="shared" ca="1" si="37"/>
        <v>28.884312215225556</v>
      </c>
      <c r="K313" s="45">
        <f t="shared" ca="1" si="38"/>
        <v>8.4568636901097154</v>
      </c>
      <c r="L313" s="35">
        <f t="shared" si="39"/>
        <v>-742.04449266932897</v>
      </c>
      <c r="P313" s="9"/>
      <c r="Q313" s="26"/>
    </row>
    <row r="314" spans="1:17" x14ac:dyDescent="0.3">
      <c r="A314">
        <v>194</v>
      </c>
      <c r="B314" s="3">
        <v>9.7206056137448158</v>
      </c>
      <c r="C314" s="2">
        <v>59.260247475827363</v>
      </c>
      <c r="D314" s="1">
        <v>2.9136552685560955</v>
      </c>
      <c r="E314" s="9">
        <f t="shared" si="32"/>
        <v>14.815061868956841</v>
      </c>
      <c r="F314" s="3">
        <f t="shared" si="33"/>
        <v>5.827310537112191E-2</v>
      </c>
      <c r="G314">
        <f t="shared" ca="1" si="34"/>
        <v>5</v>
      </c>
      <c r="H314" s="9">
        <f t="shared" ca="1" si="35"/>
        <v>125</v>
      </c>
      <c r="I314" s="12">
        <f t="shared" si="36"/>
        <v>0</v>
      </c>
      <c r="J314" s="30">
        <f t="shared" ca="1" si="37"/>
        <v>110.18493813104315</v>
      </c>
      <c r="K314" s="45">
        <f t="shared" ca="1" si="38"/>
        <v>11.33519273482745</v>
      </c>
      <c r="L314" s="35">
        <f t="shared" si="39"/>
        <v>-751.76509828307383</v>
      </c>
      <c r="P314" s="9"/>
      <c r="Q314" s="26"/>
    </row>
    <row r="315" spans="1:17" x14ac:dyDescent="0.3">
      <c r="A315">
        <v>457</v>
      </c>
      <c r="B315" s="3">
        <v>9.7411291855280542</v>
      </c>
      <c r="C315" s="2">
        <v>61.295537631767019</v>
      </c>
      <c r="D315" s="1">
        <v>3.0412583737298071</v>
      </c>
      <c r="E315" s="9">
        <f t="shared" si="32"/>
        <v>15.323884407941755</v>
      </c>
      <c r="F315" s="3">
        <f t="shared" si="33"/>
        <v>6.0825167474596147E-2</v>
      </c>
      <c r="G315">
        <f t="shared" ca="1" si="34"/>
        <v>5</v>
      </c>
      <c r="H315" s="9">
        <f t="shared" ca="1" si="35"/>
        <v>125</v>
      </c>
      <c r="I315" s="12">
        <f t="shared" si="36"/>
        <v>0</v>
      </c>
      <c r="J315" s="30">
        <f t="shared" ca="1" si="37"/>
        <v>109.67611559205824</v>
      </c>
      <c r="K315" s="45">
        <f t="shared" ca="1" si="38"/>
        <v>11.259076181332137</v>
      </c>
      <c r="L315" s="35">
        <f t="shared" si="39"/>
        <v>-761.50622746860188</v>
      </c>
      <c r="P315" s="9"/>
      <c r="Q315" s="26"/>
    </row>
    <row r="316" spans="1:17" x14ac:dyDescent="0.3">
      <c r="A316">
        <v>505</v>
      </c>
      <c r="B316" s="3">
        <v>4.6162238654125858</v>
      </c>
      <c r="C316" s="2">
        <v>82.06347396339882</v>
      </c>
      <c r="D316" s="1">
        <v>3.0154314720782232</v>
      </c>
      <c r="E316" s="9">
        <f t="shared" si="32"/>
        <v>20.515868490849705</v>
      </c>
      <c r="F316" s="3">
        <f t="shared" si="33"/>
        <v>6.0308629441564461E-2</v>
      </c>
      <c r="G316">
        <f t="shared" ca="1" si="34"/>
        <v>4</v>
      </c>
      <c r="H316" s="9">
        <f t="shared" ca="1" si="35"/>
        <v>100</v>
      </c>
      <c r="I316" s="12">
        <f t="shared" si="36"/>
        <v>0</v>
      </c>
      <c r="J316" s="30">
        <f t="shared" ca="1" si="37"/>
        <v>79.484131509150302</v>
      </c>
      <c r="K316" s="45">
        <f t="shared" ca="1" si="38"/>
        <v>17.21843087045481</v>
      </c>
      <c r="L316" s="35">
        <f t="shared" si="39"/>
        <v>-766.1224513340145</v>
      </c>
      <c r="P316" s="9"/>
      <c r="Q316" s="26"/>
    </row>
    <row r="317" spans="1:17" x14ac:dyDescent="0.3">
      <c r="A317">
        <v>592</v>
      </c>
      <c r="B317" s="3">
        <v>3.1448978560422081</v>
      </c>
      <c r="C317" s="2">
        <v>88.999860494817909</v>
      </c>
      <c r="D317" s="1">
        <v>0.45380353961207798</v>
      </c>
      <c r="E317" s="9">
        <f t="shared" si="32"/>
        <v>22.249965123704477</v>
      </c>
      <c r="F317" s="3">
        <f t="shared" si="33"/>
        <v>9.0760707922415591E-3</v>
      </c>
      <c r="G317">
        <f t="shared" ca="1" si="34"/>
        <v>0</v>
      </c>
      <c r="H317" s="9">
        <f t="shared" ca="1" si="35"/>
        <v>0</v>
      </c>
      <c r="I317" s="12">
        <f t="shared" si="36"/>
        <v>0</v>
      </c>
      <c r="J317" s="30">
        <f t="shared" ca="1" si="37"/>
        <v>-22.249965123704477</v>
      </c>
      <c r="K317" s="45">
        <f t="shared" ca="1" si="38"/>
        <v>-7.0749404725359248</v>
      </c>
      <c r="L317" s="35">
        <f t="shared" si="39"/>
        <v>-769.26734919005673</v>
      </c>
      <c r="P317" s="9"/>
      <c r="Q317" s="26"/>
    </row>
    <row r="318" spans="1:17" x14ac:dyDescent="0.3">
      <c r="A318">
        <v>468</v>
      </c>
      <c r="B318" s="3">
        <v>2.6929204855717415</v>
      </c>
      <c r="C318" s="2">
        <v>90.911355869028071</v>
      </c>
      <c r="D318" s="1">
        <v>2.3798072204901284</v>
      </c>
      <c r="E318" s="9">
        <f t="shared" si="32"/>
        <v>22.727838967257018</v>
      </c>
      <c r="F318" s="3">
        <f t="shared" si="33"/>
        <v>4.7596144409802567E-2</v>
      </c>
      <c r="G318">
        <f t="shared" ca="1" si="34"/>
        <v>4</v>
      </c>
      <c r="H318" s="9">
        <f t="shared" ca="1" si="35"/>
        <v>100</v>
      </c>
      <c r="I318" s="12">
        <f t="shared" si="36"/>
        <v>0</v>
      </c>
      <c r="J318" s="30">
        <f t="shared" ca="1" si="37"/>
        <v>77.272161032742986</v>
      </c>
      <c r="K318" s="45">
        <f t="shared" ca="1" si="38"/>
        <v>28.694557246214835</v>
      </c>
      <c r="L318" s="35">
        <f t="shared" si="39"/>
        <v>-771.96026967562852</v>
      </c>
      <c r="P318" s="9"/>
      <c r="Q318" s="26"/>
    </row>
    <row r="319" spans="1:17" x14ac:dyDescent="0.3">
      <c r="A319">
        <v>987</v>
      </c>
      <c r="B319" s="3">
        <v>1.3756345586301699</v>
      </c>
      <c r="C319" s="2">
        <v>95.373356431579467</v>
      </c>
      <c r="D319" s="1">
        <v>1.9373146167541455</v>
      </c>
      <c r="E319" s="9">
        <f t="shared" si="32"/>
        <v>23.843339107894867</v>
      </c>
      <c r="F319" s="3">
        <f t="shared" si="33"/>
        <v>3.8746292335082914E-2</v>
      </c>
      <c r="G319">
        <f t="shared" ca="1" si="34"/>
        <v>2</v>
      </c>
      <c r="H319" s="9">
        <f t="shared" ca="1" si="35"/>
        <v>50</v>
      </c>
      <c r="I319" s="12">
        <f t="shared" si="36"/>
        <v>0</v>
      </c>
      <c r="J319" s="30">
        <f t="shared" ca="1" si="37"/>
        <v>26.156660892105133</v>
      </c>
      <c r="K319" s="45">
        <f t="shared" ca="1" si="38"/>
        <v>19.014251079989897</v>
      </c>
      <c r="L319" s="35">
        <f t="shared" si="39"/>
        <v>-773.33590423425869</v>
      </c>
      <c r="P319" s="9"/>
      <c r="Q319" s="26"/>
    </row>
    <row r="320" spans="1:17" x14ac:dyDescent="0.3">
      <c r="A320">
        <v>925</v>
      </c>
      <c r="B320" s="3">
        <v>1.9951619736682802</v>
      </c>
      <c r="C320" s="2">
        <v>93.519207582981494</v>
      </c>
      <c r="D320" s="1">
        <v>1.0887239067010381</v>
      </c>
      <c r="E320" s="9">
        <f t="shared" si="32"/>
        <v>23.379801895745373</v>
      </c>
      <c r="F320" s="3">
        <f t="shared" si="33"/>
        <v>2.1774478134020763E-2</v>
      </c>
      <c r="G320">
        <f t="shared" ca="1" si="34"/>
        <v>0</v>
      </c>
      <c r="H320" s="9">
        <f t="shared" ca="1" si="35"/>
        <v>0</v>
      </c>
      <c r="I320" s="12">
        <f t="shared" si="36"/>
        <v>0</v>
      </c>
      <c r="J320" s="30">
        <f t="shared" ca="1" si="37"/>
        <v>-23.379801895745373</v>
      </c>
      <c r="K320" s="45">
        <f t="shared" ca="1" si="38"/>
        <v>-11.718247542959912</v>
      </c>
      <c r="L320" s="35">
        <f t="shared" si="39"/>
        <v>-775.33106620792694</v>
      </c>
      <c r="P320" s="9"/>
      <c r="Q320" s="26"/>
    </row>
    <row r="321" spans="1:17" x14ac:dyDescent="0.3">
      <c r="A321">
        <v>843</v>
      </c>
      <c r="B321" s="3">
        <v>9.9480693686482233</v>
      </c>
      <c r="C321" s="2">
        <v>73.320392656264048</v>
      </c>
      <c r="D321" s="1">
        <v>3.0444966850209774</v>
      </c>
      <c r="E321" s="9">
        <f t="shared" si="32"/>
        <v>18.330098164066012</v>
      </c>
      <c r="F321" s="3">
        <f t="shared" si="33"/>
        <v>6.0889933700419549E-2</v>
      </c>
      <c r="G321">
        <f t="shared" ca="1" si="34"/>
        <v>5</v>
      </c>
      <c r="H321" s="9">
        <f t="shared" ca="1" si="35"/>
        <v>125</v>
      </c>
      <c r="I321" s="12">
        <f t="shared" si="36"/>
        <v>0</v>
      </c>
      <c r="J321" s="30">
        <f t="shared" ca="1" si="37"/>
        <v>106.66990183593398</v>
      </c>
      <c r="K321" s="45">
        <f t="shared" ca="1" si="38"/>
        <v>10.722673705122007</v>
      </c>
      <c r="L321" s="35">
        <f t="shared" si="39"/>
        <v>-785.27913557657519</v>
      </c>
      <c r="P321" s="9"/>
      <c r="Q321" s="26"/>
    </row>
    <row r="322" spans="1:17" x14ac:dyDescent="0.3">
      <c r="A322">
        <v>48</v>
      </c>
      <c r="B322" s="3">
        <v>6.6302417029515031</v>
      </c>
      <c r="C322" s="2">
        <v>88.077018536128762</v>
      </c>
      <c r="D322" s="1">
        <v>2.9657601138693863</v>
      </c>
      <c r="E322" s="9">
        <f t="shared" ref="E322:E385" si="40">0.25*C322</f>
        <v>22.01925463403219</v>
      </c>
      <c r="F322" s="3">
        <f t="shared" ref="F322:F385" si="41">(1/50)*D322</f>
        <v>5.9315202277387728E-2</v>
      </c>
      <c r="G322">
        <f t="shared" ref="G322:G385" ca="1" si="42">_xlfn.BINOM.INV(50,F322,RAND())</f>
        <v>3</v>
      </c>
      <c r="H322" s="9">
        <f t="shared" ref="H322:H385" ca="1" si="43">G322*25</f>
        <v>75</v>
      </c>
      <c r="I322" s="12">
        <f t="shared" ref="I322:I385" si="44">IF(L322&gt;0,1,0)</f>
        <v>0</v>
      </c>
      <c r="J322" s="30">
        <f t="shared" ref="J322:J385" ca="1" si="45">H322-E322</f>
        <v>52.980745365967806</v>
      </c>
      <c r="K322" s="45">
        <f t="shared" ref="K322:K385" ca="1" si="46">J322/B322</f>
        <v>7.9907713383032508</v>
      </c>
      <c r="L322" s="35">
        <f t="shared" si="39"/>
        <v>-791.90937727952667</v>
      </c>
      <c r="P322" s="9"/>
      <c r="Q322" s="26"/>
    </row>
    <row r="323" spans="1:17" x14ac:dyDescent="0.3">
      <c r="A323">
        <v>39</v>
      </c>
      <c r="B323" s="3">
        <v>9.3614014153288299</v>
      </c>
      <c r="C323" s="2">
        <v>84.224169758668083</v>
      </c>
      <c r="D323" s="1">
        <v>3.2482024009140531</v>
      </c>
      <c r="E323" s="9">
        <f t="shared" si="40"/>
        <v>21.056042439667021</v>
      </c>
      <c r="F323" s="3">
        <f t="shared" si="41"/>
        <v>6.4964048018281068E-2</v>
      </c>
      <c r="G323">
        <f t="shared" ca="1" si="42"/>
        <v>5</v>
      </c>
      <c r="H323" s="9">
        <f t="shared" ca="1" si="43"/>
        <v>125</v>
      </c>
      <c r="I323" s="12">
        <f t="shared" si="44"/>
        <v>0</v>
      </c>
      <c r="J323" s="30">
        <f t="shared" ca="1" si="45"/>
        <v>103.94395756033298</v>
      </c>
      <c r="K323" s="45">
        <f t="shared" ca="1" si="46"/>
        <v>11.103461217903755</v>
      </c>
      <c r="L323" s="35">
        <f t="shared" si="39"/>
        <v>-801.27077869485549</v>
      </c>
      <c r="P323" s="9"/>
      <c r="Q323" s="26"/>
    </row>
    <row r="324" spans="1:17" x14ac:dyDescent="0.3">
      <c r="A324">
        <v>762</v>
      </c>
      <c r="B324" s="3">
        <v>0.45024089787638277</v>
      </c>
      <c r="C324" s="2">
        <v>99.337194752892017</v>
      </c>
      <c r="D324" s="1">
        <v>1.2038968510307821</v>
      </c>
      <c r="E324" s="9">
        <f t="shared" si="40"/>
        <v>24.834298688223004</v>
      </c>
      <c r="F324" s="3">
        <f t="shared" si="41"/>
        <v>2.4077937020615642E-2</v>
      </c>
      <c r="G324">
        <f t="shared" ca="1" si="42"/>
        <v>0</v>
      </c>
      <c r="H324" s="9">
        <f t="shared" ca="1" si="43"/>
        <v>0</v>
      </c>
      <c r="I324" s="12">
        <f t="shared" si="44"/>
        <v>0</v>
      </c>
      <c r="J324" s="30">
        <f t="shared" ca="1" si="45"/>
        <v>-24.834298688223004</v>
      </c>
      <c r="K324" s="45">
        <f t="shared" ca="1" si="46"/>
        <v>-55.157802868102529</v>
      </c>
      <c r="L324" s="35">
        <f t="shared" ref="L324:L387" si="47">L323-B324</f>
        <v>-801.72101959273186</v>
      </c>
      <c r="P324" s="9"/>
      <c r="Q324" s="26"/>
    </row>
    <row r="325" spans="1:17" x14ac:dyDescent="0.3">
      <c r="A325">
        <v>502</v>
      </c>
      <c r="B325" s="3">
        <v>9.7173833291681291</v>
      </c>
      <c r="C325" s="2">
        <v>89.470362092680816</v>
      </c>
      <c r="D325" s="1">
        <v>3.1327745557221771</v>
      </c>
      <c r="E325" s="9">
        <f t="shared" si="40"/>
        <v>22.367590523170204</v>
      </c>
      <c r="F325" s="3">
        <f t="shared" si="41"/>
        <v>6.2655491114443546E-2</v>
      </c>
      <c r="G325">
        <f t="shared" ca="1" si="42"/>
        <v>1</v>
      </c>
      <c r="H325" s="9">
        <f t="shared" ca="1" si="43"/>
        <v>25</v>
      </c>
      <c r="I325" s="12">
        <f t="shared" si="44"/>
        <v>0</v>
      </c>
      <c r="J325" s="30">
        <f t="shared" ca="1" si="45"/>
        <v>2.6324094768297961</v>
      </c>
      <c r="K325" s="45">
        <f t="shared" ca="1" si="46"/>
        <v>0.2708969470133219</v>
      </c>
      <c r="L325" s="35">
        <f t="shared" si="47"/>
        <v>-811.43840292189998</v>
      </c>
      <c r="P325" s="9"/>
      <c r="Q325" s="26"/>
    </row>
    <row r="326" spans="1:17" x14ac:dyDescent="0.3">
      <c r="A326">
        <v>839</v>
      </c>
      <c r="B326" s="3">
        <v>6.4512495725591688</v>
      </c>
      <c r="C326" s="2">
        <v>93.645423896480381</v>
      </c>
      <c r="D326" s="1">
        <v>3.1780736798421731</v>
      </c>
      <c r="E326" s="9">
        <f t="shared" si="40"/>
        <v>23.411355974120095</v>
      </c>
      <c r="F326" s="3">
        <f t="shared" si="41"/>
        <v>6.3561473596843471E-2</v>
      </c>
      <c r="G326">
        <f t="shared" ca="1" si="42"/>
        <v>5</v>
      </c>
      <c r="H326" s="9">
        <f t="shared" ca="1" si="43"/>
        <v>125</v>
      </c>
      <c r="I326" s="12">
        <f t="shared" si="44"/>
        <v>0</v>
      </c>
      <c r="J326" s="30">
        <f t="shared" ca="1" si="45"/>
        <v>101.5886440258799</v>
      </c>
      <c r="K326" s="45">
        <f t="shared" ca="1" si="46"/>
        <v>15.747126643184624</v>
      </c>
      <c r="L326" s="35">
        <f t="shared" si="47"/>
        <v>-817.88965249445914</v>
      </c>
      <c r="P326" s="9"/>
      <c r="Q326" s="26"/>
    </row>
    <row r="327" spans="1:17" x14ac:dyDescent="0.3">
      <c r="A327">
        <v>128</v>
      </c>
      <c r="B327" s="3">
        <v>3.1105955154469189</v>
      </c>
      <c r="C327" s="2">
        <v>97.376170710780329</v>
      </c>
      <c r="D327" s="1">
        <v>1.4899168860371081</v>
      </c>
      <c r="E327" s="9">
        <f t="shared" si="40"/>
        <v>24.344042677695082</v>
      </c>
      <c r="F327" s="3">
        <f t="shared" si="41"/>
        <v>2.9798337720742165E-2</v>
      </c>
      <c r="G327">
        <f t="shared" ca="1" si="42"/>
        <v>0</v>
      </c>
      <c r="H327" s="9">
        <f t="shared" ca="1" si="43"/>
        <v>0</v>
      </c>
      <c r="I327" s="12">
        <f t="shared" si="44"/>
        <v>0</v>
      </c>
      <c r="J327" s="30">
        <f t="shared" ca="1" si="45"/>
        <v>-24.344042677695082</v>
      </c>
      <c r="K327" s="45">
        <f t="shared" ca="1" si="46"/>
        <v>-7.8261678694015027</v>
      </c>
      <c r="L327" s="35">
        <f t="shared" si="47"/>
        <v>-821.00024800990604</v>
      </c>
      <c r="P327" s="9"/>
      <c r="Q327" s="26"/>
    </row>
    <row r="328" spans="1:17" x14ac:dyDescent="0.3">
      <c r="A328">
        <v>1049</v>
      </c>
      <c r="B328" s="3">
        <v>2.9952230291617266</v>
      </c>
      <c r="C328" s="2">
        <v>99.086174017006172</v>
      </c>
      <c r="D328" s="1">
        <v>2.7454812486031814</v>
      </c>
      <c r="E328" s="9">
        <f t="shared" si="40"/>
        <v>24.771543504251543</v>
      </c>
      <c r="F328" s="3">
        <f t="shared" si="41"/>
        <v>5.4909624972063628E-2</v>
      </c>
      <c r="G328">
        <f t="shared" ca="1" si="42"/>
        <v>8</v>
      </c>
      <c r="H328" s="9">
        <f t="shared" ca="1" si="43"/>
        <v>200</v>
      </c>
      <c r="I328" s="12">
        <f t="shared" si="44"/>
        <v>0</v>
      </c>
      <c r="J328" s="30">
        <f t="shared" ca="1" si="45"/>
        <v>175.22845649574845</v>
      </c>
      <c r="K328" s="45">
        <f t="shared" ca="1" si="46"/>
        <v>58.502640634674094</v>
      </c>
      <c r="L328" s="35">
        <f t="shared" si="47"/>
        <v>-823.99547103906775</v>
      </c>
      <c r="P328" s="9"/>
      <c r="Q328" s="26"/>
    </row>
    <row r="329" spans="1:17" x14ac:dyDescent="0.3">
      <c r="A329">
        <v>1097</v>
      </c>
      <c r="B329" s="3">
        <v>4.3030294604863446</v>
      </c>
      <c r="C329" s="2">
        <v>99.222808457063948</v>
      </c>
      <c r="D329" s="1">
        <v>2.8395750199815346</v>
      </c>
      <c r="E329" s="9">
        <f t="shared" si="40"/>
        <v>24.805702114265987</v>
      </c>
      <c r="F329" s="3">
        <f t="shared" si="41"/>
        <v>5.6791500399630691E-2</v>
      </c>
      <c r="G329">
        <f t="shared" ca="1" si="42"/>
        <v>1</v>
      </c>
      <c r="H329" s="9">
        <f t="shared" ca="1" si="43"/>
        <v>25</v>
      </c>
      <c r="I329" s="12">
        <f t="shared" si="44"/>
        <v>0</v>
      </c>
      <c r="J329" s="30">
        <f t="shared" ca="1" si="45"/>
        <v>0.19429788573401297</v>
      </c>
      <c r="K329" s="45">
        <f t="shared" ca="1" si="46"/>
        <v>4.5153742849822993E-2</v>
      </c>
      <c r="L329" s="35">
        <f t="shared" si="47"/>
        <v>-828.29850049955405</v>
      </c>
      <c r="P329" s="9"/>
      <c r="Q329" s="26"/>
    </row>
    <row r="330" spans="1:17" x14ac:dyDescent="0.3">
      <c r="A330">
        <v>954</v>
      </c>
      <c r="B330" s="3">
        <v>3.5213995169796286</v>
      </c>
      <c r="C330" s="2">
        <v>4.1259991134545704E-2</v>
      </c>
      <c r="D330" s="1">
        <v>0.25512942873062083</v>
      </c>
      <c r="E330" s="9">
        <f t="shared" si="40"/>
        <v>1.0314997783636426E-2</v>
      </c>
      <c r="F330" s="3">
        <f t="shared" si="41"/>
        <v>5.1025885746124166E-3</v>
      </c>
      <c r="G330">
        <f t="shared" ca="1" si="42"/>
        <v>1</v>
      </c>
      <c r="H330" s="9">
        <f t="shared" ca="1" si="43"/>
        <v>25</v>
      </c>
      <c r="I330" s="12">
        <f t="shared" si="44"/>
        <v>0</v>
      </c>
      <c r="J330" s="30">
        <f t="shared" ca="1" si="45"/>
        <v>24.989685002216362</v>
      </c>
      <c r="K330" s="45">
        <f t="shared" ca="1" si="46"/>
        <v>7.0965208240985076</v>
      </c>
      <c r="L330" s="35">
        <f t="shared" si="47"/>
        <v>-831.81990001653367</v>
      </c>
      <c r="P330" s="9"/>
      <c r="Q330" s="26"/>
    </row>
    <row r="331" spans="1:17" x14ac:dyDescent="0.3">
      <c r="A331">
        <v>872</v>
      </c>
      <c r="B331" s="3">
        <v>5.8911859065317298</v>
      </c>
      <c r="C331" s="2">
        <v>0.32542690615354752</v>
      </c>
      <c r="D331" s="1">
        <v>0.92378802779970148</v>
      </c>
      <c r="E331" s="9">
        <f t="shared" si="40"/>
        <v>8.1356726538386881E-2</v>
      </c>
      <c r="F331" s="3">
        <f t="shared" si="41"/>
        <v>1.8475760555994029E-2</v>
      </c>
      <c r="G331">
        <f t="shared" ca="1" si="42"/>
        <v>1</v>
      </c>
      <c r="H331" s="9">
        <f t="shared" ca="1" si="43"/>
        <v>25</v>
      </c>
      <c r="I331" s="12">
        <f t="shared" si="44"/>
        <v>0</v>
      </c>
      <c r="J331" s="30">
        <f t="shared" ca="1" si="45"/>
        <v>24.918643273461612</v>
      </c>
      <c r="K331" s="45">
        <f t="shared" ca="1" si="46"/>
        <v>4.2298178446267647</v>
      </c>
      <c r="L331" s="35">
        <f t="shared" si="47"/>
        <v>-837.71108592306541</v>
      </c>
      <c r="P331" s="9"/>
      <c r="Q331" s="26"/>
    </row>
    <row r="332" spans="1:17" x14ac:dyDescent="0.3">
      <c r="A332">
        <v>120</v>
      </c>
      <c r="B332" s="3">
        <v>7.1096906978640364</v>
      </c>
      <c r="C332" s="2">
        <v>0.76320367925554189</v>
      </c>
      <c r="D332" s="1">
        <v>0.39633753242700703</v>
      </c>
      <c r="E332" s="9">
        <f t="shared" si="40"/>
        <v>0.19080091981388547</v>
      </c>
      <c r="F332" s="3">
        <f t="shared" si="41"/>
        <v>7.9267506485401415E-3</v>
      </c>
      <c r="G332">
        <f t="shared" ca="1" si="42"/>
        <v>0</v>
      </c>
      <c r="H332" s="9">
        <f t="shared" ca="1" si="43"/>
        <v>0</v>
      </c>
      <c r="I332" s="12">
        <f t="shared" si="44"/>
        <v>0</v>
      </c>
      <c r="J332" s="30">
        <f t="shared" ca="1" si="45"/>
        <v>-0.19080091981388547</v>
      </c>
      <c r="K332" s="45">
        <f t="shared" ca="1" si="46"/>
        <v>-2.6836739869880385E-2</v>
      </c>
      <c r="L332" s="35">
        <f t="shared" si="47"/>
        <v>-844.82077662092945</v>
      </c>
      <c r="P332" s="9"/>
      <c r="Q332" s="26"/>
    </row>
    <row r="333" spans="1:17" x14ac:dyDescent="0.3">
      <c r="A333">
        <v>185</v>
      </c>
      <c r="B333" s="3">
        <v>6.2493587123033674</v>
      </c>
      <c r="C333" s="2">
        <v>0.83710041948734659</v>
      </c>
      <c r="D333" s="1">
        <v>1.6639185068781452</v>
      </c>
      <c r="E333" s="9">
        <f t="shared" si="40"/>
        <v>0.20927510487183665</v>
      </c>
      <c r="F333" s="3">
        <f t="shared" si="41"/>
        <v>3.3278370137562907E-2</v>
      </c>
      <c r="G333">
        <f t="shared" ca="1" si="42"/>
        <v>1</v>
      </c>
      <c r="H333" s="9">
        <f t="shared" ca="1" si="43"/>
        <v>25</v>
      </c>
      <c r="I333" s="12">
        <f t="shared" si="44"/>
        <v>0</v>
      </c>
      <c r="J333" s="30">
        <f t="shared" ca="1" si="45"/>
        <v>24.790724895128164</v>
      </c>
      <c r="K333" s="45">
        <f t="shared" ca="1" si="46"/>
        <v>3.9669230134480284</v>
      </c>
      <c r="L333" s="35">
        <f t="shared" si="47"/>
        <v>-851.07013533323277</v>
      </c>
      <c r="P333" s="9"/>
      <c r="Q333" s="26"/>
    </row>
    <row r="334" spans="1:17" x14ac:dyDescent="0.3">
      <c r="A334">
        <v>727</v>
      </c>
      <c r="B334" s="3">
        <v>7.578015698568354</v>
      </c>
      <c r="C334" s="2">
        <v>1.0280641948749114</v>
      </c>
      <c r="D334" s="1">
        <v>1.9015549906132416</v>
      </c>
      <c r="E334" s="9">
        <f t="shared" si="40"/>
        <v>0.25701604871872785</v>
      </c>
      <c r="F334" s="3">
        <f t="shared" si="41"/>
        <v>3.8031099812264831E-2</v>
      </c>
      <c r="G334">
        <f t="shared" ca="1" si="42"/>
        <v>3</v>
      </c>
      <c r="H334" s="9">
        <f t="shared" ca="1" si="43"/>
        <v>75</v>
      </c>
      <c r="I334" s="12">
        <f t="shared" si="44"/>
        <v>0</v>
      </c>
      <c r="J334" s="30">
        <f t="shared" ca="1" si="45"/>
        <v>74.742983951281275</v>
      </c>
      <c r="K334" s="45">
        <f t="shared" ca="1" si="46"/>
        <v>9.8631339554234216</v>
      </c>
      <c r="L334" s="35">
        <f t="shared" si="47"/>
        <v>-858.64815103180115</v>
      </c>
      <c r="P334" s="9"/>
      <c r="Q334" s="26"/>
    </row>
    <row r="335" spans="1:17" x14ac:dyDescent="0.3">
      <c r="A335">
        <v>26</v>
      </c>
      <c r="B335" s="3">
        <v>7.0069103981768466</v>
      </c>
      <c r="C335" s="2">
        <v>0.98561979343579909</v>
      </c>
      <c r="D335" s="1">
        <v>1.1421365354113049</v>
      </c>
      <c r="E335" s="9">
        <f t="shared" si="40"/>
        <v>0.24640494835894977</v>
      </c>
      <c r="F335" s="3">
        <f t="shared" si="41"/>
        <v>2.2842730708226098E-2</v>
      </c>
      <c r="G335">
        <f t="shared" ca="1" si="42"/>
        <v>1</v>
      </c>
      <c r="H335" s="9">
        <f t="shared" ca="1" si="43"/>
        <v>25</v>
      </c>
      <c r="I335" s="12">
        <f t="shared" si="44"/>
        <v>0</v>
      </c>
      <c r="J335" s="30">
        <f t="shared" ca="1" si="45"/>
        <v>24.753595051641049</v>
      </c>
      <c r="K335" s="45">
        <f t="shared" ca="1" si="46"/>
        <v>3.5327403441724869</v>
      </c>
      <c r="L335" s="35">
        <f t="shared" si="47"/>
        <v>-865.65506142997799</v>
      </c>
      <c r="P335" s="9"/>
      <c r="Q335" s="26"/>
    </row>
    <row r="336" spans="1:17" x14ac:dyDescent="0.3">
      <c r="A336">
        <v>386</v>
      </c>
      <c r="B336" s="3">
        <v>6.6649267657293212</v>
      </c>
      <c r="C336" s="2">
        <v>1.5840628620161334</v>
      </c>
      <c r="D336" s="1">
        <v>0.55816895182779591</v>
      </c>
      <c r="E336" s="9">
        <f t="shared" si="40"/>
        <v>0.39601571550403336</v>
      </c>
      <c r="F336" s="3">
        <f t="shared" si="41"/>
        <v>1.1163379036555919E-2</v>
      </c>
      <c r="G336">
        <f t="shared" ca="1" si="42"/>
        <v>0</v>
      </c>
      <c r="H336" s="9">
        <f t="shared" ca="1" si="43"/>
        <v>0</v>
      </c>
      <c r="I336" s="12">
        <f t="shared" si="44"/>
        <v>0</v>
      </c>
      <c r="J336" s="30">
        <f t="shared" ca="1" si="45"/>
        <v>-0.39601571550403336</v>
      </c>
      <c r="K336" s="45">
        <f t="shared" ca="1" si="46"/>
        <v>-5.9417864505327184E-2</v>
      </c>
      <c r="L336" s="35">
        <f t="shared" si="47"/>
        <v>-872.31998819570731</v>
      </c>
      <c r="P336" s="9"/>
      <c r="Q336" s="26"/>
    </row>
    <row r="337" spans="1:17" x14ac:dyDescent="0.3">
      <c r="A337">
        <v>660</v>
      </c>
      <c r="B337" s="3">
        <v>3.8837953812258821</v>
      </c>
      <c r="C337" s="2">
        <v>0.94528438426614292</v>
      </c>
      <c r="D337" s="1">
        <v>0.58399869740730492</v>
      </c>
      <c r="E337" s="9">
        <f t="shared" si="40"/>
        <v>0.23632109606653573</v>
      </c>
      <c r="F337" s="3">
        <f t="shared" si="41"/>
        <v>1.16799739481461E-2</v>
      </c>
      <c r="G337">
        <f t="shared" ca="1" si="42"/>
        <v>0</v>
      </c>
      <c r="H337" s="9">
        <f t="shared" ca="1" si="43"/>
        <v>0</v>
      </c>
      <c r="I337" s="12">
        <f t="shared" si="44"/>
        <v>0</v>
      </c>
      <c r="J337" s="30">
        <f t="shared" ca="1" si="45"/>
        <v>-0.23632109606653573</v>
      </c>
      <c r="K337" s="45">
        <f t="shared" ca="1" si="46"/>
        <v>-6.0847978039446374E-2</v>
      </c>
      <c r="L337" s="35">
        <f t="shared" si="47"/>
        <v>-876.20378357693323</v>
      </c>
      <c r="P337" s="9"/>
      <c r="Q337" s="26"/>
    </row>
    <row r="338" spans="1:17" x14ac:dyDescent="0.3">
      <c r="A338">
        <v>259</v>
      </c>
      <c r="B338" s="3">
        <v>5.4742963618038454</v>
      </c>
      <c r="C338" s="2">
        <v>1.4455122607918591</v>
      </c>
      <c r="D338" s="1">
        <v>0.5722002502080541</v>
      </c>
      <c r="E338" s="9">
        <f t="shared" si="40"/>
        <v>0.36137806519796478</v>
      </c>
      <c r="F338" s="3">
        <f t="shared" si="41"/>
        <v>1.1444005004161081E-2</v>
      </c>
      <c r="G338">
        <f t="shared" ca="1" si="42"/>
        <v>1</v>
      </c>
      <c r="H338" s="9">
        <f t="shared" ca="1" si="43"/>
        <v>25</v>
      </c>
      <c r="I338" s="12">
        <f t="shared" si="44"/>
        <v>0</v>
      </c>
      <c r="J338" s="30">
        <f t="shared" ca="1" si="45"/>
        <v>24.638621934802035</v>
      </c>
      <c r="K338" s="45">
        <f t="shared" ca="1" si="46"/>
        <v>4.5007833530377805</v>
      </c>
      <c r="L338" s="35">
        <f t="shared" si="47"/>
        <v>-881.67807993873703</v>
      </c>
      <c r="P338" s="9"/>
      <c r="Q338" s="26"/>
    </row>
    <row r="339" spans="1:17" x14ac:dyDescent="0.3">
      <c r="A339">
        <v>266</v>
      </c>
      <c r="B339" s="3">
        <v>8.7261062006002135</v>
      </c>
      <c r="C339" s="2">
        <v>2.6849874073990421</v>
      </c>
      <c r="D339" s="1">
        <v>0.75084445986157222</v>
      </c>
      <c r="E339" s="9">
        <f t="shared" si="40"/>
        <v>0.67124685184976052</v>
      </c>
      <c r="F339" s="3">
        <f t="shared" si="41"/>
        <v>1.5016889197231445E-2</v>
      </c>
      <c r="G339">
        <f t="shared" ca="1" si="42"/>
        <v>0</v>
      </c>
      <c r="H339" s="9">
        <f t="shared" ca="1" si="43"/>
        <v>0</v>
      </c>
      <c r="I339" s="12">
        <f t="shared" si="44"/>
        <v>0</v>
      </c>
      <c r="J339" s="30">
        <f t="shared" ca="1" si="45"/>
        <v>-0.67124685184976052</v>
      </c>
      <c r="K339" s="45">
        <f t="shared" ca="1" si="46"/>
        <v>-7.6923983781401806E-2</v>
      </c>
      <c r="L339" s="35">
        <f t="shared" si="47"/>
        <v>-890.4041861393373</v>
      </c>
      <c r="P339" s="9"/>
      <c r="Q339" s="26"/>
    </row>
    <row r="340" spans="1:17" x14ac:dyDescent="0.3">
      <c r="A340">
        <v>441</v>
      </c>
      <c r="B340" s="3">
        <v>9.6380365224874538</v>
      </c>
      <c r="C340" s="2">
        <v>4.7434515841039744</v>
      </c>
      <c r="D340" s="1">
        <v>1.1678727362738721</v>
      </c>
      <c r="E340" s="9">
        <f t="shared" si="40"/>
        <v>1.1858628960259936</v>
      </c>
      <c r="F340" s="3">
        <f t="shared" si="41"/>
        <v>2.3357454725477442E-2</v>
      </c>
      <c r="G340">
        <f t="shared" ca="1" si="42"/>
        <v>2</v>
      </c>
      <c r="H340" s="9">
        <f t="shared" ca="1" si="43"/>
        <v>50</v>
      </c>
      <c r="I340" s="12">
        <f t="shared" si="44"/>
        <v>0</v>
      </c>
      <c r="J340" s="30">
        <f t="shared" ca="1" si="45"/>
        <v>48.814137103974005</v>
      </c>
      <c r="K340" s="45">
        <f t="shared" ca="1" si="46"/>
        <v>5.064738755666772</v>
      </c>
      <c r="L340" s="35">
        <f t="shared" si="47"/>
        <v>-900.04222266182478</v>
      </c>
      <c r="P340" s="9"/>
      <c r="Q340" s="26"/>
    </row>
    <row r="341" spans="1:17" x14ac:dyDescent="0.3">
      <c r="A341">
        <v>860</v>
      </c>
      <c r="B341" s="3">
        <v>7.1784982531228199</v>
      </c>
      <c r="C341" s="2">
        <v>4.8610607958877727</v>
      </c>
      <c r="D341" s="1">
        <v>2.4822919460870021</v>
      </c>
      <c r="E341" s="9">
        <f t="shared" si="40"/>
        <v>1.2152651989719432</v>
      </c>
      <c r="F341" s="3">
        <f t="shared" si="41"/>
        <v>4.9645838921740043E-2</v>
      </c>
      <c r="G341">
        <f t="shared" ca="1" si="42"/>
        <v>0</v>
      </c>
      <c r="H341" s="9">
        <f t="shared" ca="1" si="43"/>
        <v>0</v>
      </c>
      <c r="I341" s="12">
        <f t="shared" si="44"/>
        <v>0</v>
      </c>
      <c r="J341" s="30">
        <f t="shared" ca="1" si="45"/>
        <v>-1.2152651989719432</v>
      </c>
      <c r="K341" s="45">
        <f t="shared" ca="1" si="46"/>
        <v>-0.1692924001817892</v>
      </c>
      <c r="L341" s="35">
        <f t="shared" si="47"/>
        <v>-907.22072091494761</v>
      </c>
      <c r="P341" s="9"/>
      <c r="Q341" s="26"/>
    </row>
    <row r="342" spans="1:17" x14ac:dyDescent="0.3">
      <c r="A342">
        <v>154</v>
      </c>
      <c r="B342" s="3">
        <v>5.5162632285285778</v>
      </c>
      <c r="C342" s="2">
        <v>3.9009762321333241</v>
      </c>
      <c r="D342" s="1">
        <v>0.49669752154335417</v>
      </c>
      <c r="E342" s="9">
        <f t="shared" si="40"/>
        <v>0.97524405803333103</v>
      </c>
      <c r="F342" s="3">
        <f t="shared" si="41"/>
        <v>9.9339504308670838E-3</v>
      </c>
      <c r="G342">
        <f t="shared" ca="1" si="42"/>
        <v>0</v>
      </c>
      <c r="H342" s="9">
        <f t="shared" ca="1" si="43"/>
        <v>0</v>
      </c>
      <c r="I342" s="12">
        <f t="shared" si="44"/>
        <v>0</v>
      </c>
      <c r="J342" s="30">
        <f t="shared" ca="1" si="45"/>
        <v>-0.97524405803333103</v>
      </c>
      <c r="K342" s="45">
        <f t="shared" ca="1" si="46"/>
        <v>-0.17679432935499528</v>
      </c>
      <c r="L342" s="35">
        <f t="shared" si="47"/>
        <v>-912.73698414347621</v>
      </c>
      <c r="P342" s="9"/>
      <c r="Q342" s="26"/>
    </row>
    <row r="343" spans="1:17" x14ac:dyDescent="0.3">
      <c r="A343">
        <v>524</v>
      </c>
      <c r="B343" s="3">
        <v>8.7645752668996515</v>
      </c>
      <c r="C343" s="2">
        <v>6.3930294339379135</v>
      </c>
      <c r="D343" s="1">
        <v>1.6447189242021771</v>
      </c>
      <c r="E343" s="9">
        <f t="shared" si="40"/>
        <v>1.5982573584844784</v>
      </c>
      <c r="F343" s="3">
        <f t="shared" si="41"/>
        <v>3.2894378484043543E-2</v>
      </c>
      <c r="G343">
        <f t="shared" ca="1" si="42"/>
        <v>3</v>
      </c>
      <c r="H343" s="9">
        <f t="shared" ca="1" si="43"/>
        <v>75</v>
      </c>
      <c r="I343" s="12">
        <f t="shared" si="44"/>
        <v>0</v>
      </c>
      <c r="J343" s="30">
        <f t="shared" ca="1" si="45"/>
        <v>73.401742641515526</v>
      </c>
      <c r="K343" s="45">
        <f t="shared" ca="1" si="46"/>
        <v>8.3748202743748461</v>
      </c>
      <c r="L343" s="35">
        <f t="shared" si="47"/>
        <v>-921.50155941037588</v>
      </c>
      <c r="P343" s="9"/>
      <c r="Q343" s="26"/>
    </row>
    <row r="344" spans="1:17" x14ac:dyDescent="0.3">
      <c r="A344">
        <v>431</v>
      </c>
      <c r="B344" s="3">
        <v>8.9647730460119526</v>
      </c>
      <c r="C344" s="2">
        <v>8.0102939251496146</v>
      </c>
      <c r="D344" s="1">
        <v>1.1192198458945315</v>
      </c>
      <c r="E344" s="9">
        <f t="shared" si="40"/>
        <v>2.0025734812874036</v>
      </c>
      <c r="F344" s="3">
        <f t="shared" si="41"/>
        <v>2.2384396917890629E-2</v>
      </c>
      <c r="G344">
        <f t="shared" ca="1" si="42"/>
        <v>1</v>
      </c>
      <c r="H344" s="9">
        <f t="shared" ca="1" si="43"/>
        <v>25</v>
      </c>
      <c r="I344" s="12">
        <f t="shared" si="44"/>
        <v>0</v>
      </c>
      <c r="J344" s="30">
        <f t="shared" ca="1" si="45"/>
        <v>22.997426518712597</v>
      </c>
      <c r="K344" s="45">
        <f t="shared" ca="1" si="46"/>
        <v>2.5653105104476879</v>
      </c>
      <c r="L344" s="35">
        <f t="shared" si="47"/>
        <v>-930.46633245638782</v>
      </c>
      <c r="P344" s="9"/>
      <c r="Q344" s="26"/>
    </row>
    <row r="345" spans="1:17" x14ac:dyDescent="0.3">
      <c r="A345">
        <v>666</v>
      </c>
      <c r="B345" s="3">
        <v>4.820234794182813</v>
      </c>
      <c r="C345" s="2">
        <v>4.6288503330777058</v>
      </c>
      <c r="D345" s="1">
        <v>0.4424648313981121</v>
      </c>
      <c r="E345" s="9">
        <f t="shared" si="40"/>
        <v>1.1572125832694264</v>
      </c>
      <c r="F345" s="3">
        <f t="shared" si="41"/>
        <v>8.8492966279622425E-3</v>
      </c>
      <c r="G345">
        <f t="shared" ca="1" si="42"/>
        <v>0</v>
      </c>
      <c r="H345" s="9">
        <f t="shared" ca="1" si="43"/>
        <v>0</v>
      </c>
      <c r="I345" s="12">
        <f t="shared" si="44"/>
        <v>0</v>
      </c>
      <c r="J345" s="30">
        <f t="shared" ca="1" si="45"/>
        <v>-1.1572125832694264</v>
      </c>
      <c r="K345" s="45">
        <f t="shared" ca="1" si="46"/>
        <v>-0.2400739035919954</v>
      </c>
      <c r="L345" s="35">
        <f t="shared" si="47"/>
        <v>-935.28656725057067</v>
      </c>
      <c r="P345" s="9"/>
      <c r="Q345" s="26"/>
    </row>
    <row r="346" spans="1:17" x14ac:dyDescent="0.3">
      <c r="A346">
        <v>123</v>
      </c>
      <c r="B346" s="3">
        <v>9.1341854108012654</v>
      </c>
      <c r="C346" s="2">
        <v>8.9319799912231481</v>
      </c>
      <c r="D346" s="1">
        <v>3.180099477834184</v>
      </c>
      <c r="E346" s="9">
        <f t="shared" si="40"/>
        <v>2.232994997805787</v>
      </c>
      <c r="F346" s="3">
        <f t="shared" si="41"/>
        <v>6.3601989556683683E-2</v>
      </c>
      <c r="G346">
        <f t="shared" ca="1" si="42"/>
        <v>5</v>
      </c>
      <c r="H346" s="9">
        <f t="shared" ca="1" si="43"/>
        <v>125</v>
      </c>
      <c r="I346" s="12">
        <f t="shared" si="44"/>
        <v>0</v>
      </c>
      <c r="J346" s="30">
        <f t="shared" ca="1" si="45"/>
        <v>122.76700500219421</v>
      </c>
      <c r="K346" s="45">
        <f t="shared" ca="1" si="46"/>
        <v>13.440388987180071</v>
      </c>
      <c r="L346" s="35">
        <f t="shared" si="47"/>
        <v>-944.42075266137192</v>
      </c>
      <c r="P346" s="9"/>
      <c r="Q346" s="26"/>
    </row>
    <row r="347" spans="1:17" x14ac:dyDescent="0.3">
      <c r="A347">
        <v>479</v>
      </c>
      <c r="B347" s="3">
        <v>2.3623766896901865</v>
      </c>
      <c r="C347" s="2">
        <v>2.4240394499852935</v>
      </c>
      <c r="D347" s="1">
        <v>0.9464445731485791</v>
      </c>
      <c r="E347" s="9">
        <f t="shared" si="40"/>
        <v>0.60600986249632338</v>
      </c>
      <c r="F347" s="3">
        <f t="shared" si="41"/>
        <v>1.8928891462971581E-2</v>
      </c>
      <c r="G347">
        <f t="shared" ca="1" si="42"/>
        <v>0</v>
      </c>
      <c r="H347" s="9">
        <f t="shared" ca="1" si="43"/>
        <v>0</v>
      </c>
      <c r="I347" s="12">
        <f t="shared" si="44"/>
        <v>0</v>
      </c>
      <c r="J347" s="30">
        <f t="shared" ca="1" si="45"/>
        <v>-0.60600986249632338</v>
      </c>
      <c r="K347" s="45">
        <f t="shared" ca="1" si="46"/>
        <v>-0.25652550041703909</v>
      </c>
      <c r="L347" s="35">
        <f t="shared" si="47"/>
        <v>-946.78312935106214</v>
      </c>
      <c r="P347" s="9"/>
      <c r="Q347" s="26"/>
    </row>
    <row r="348" spans="1:17" x14ac:dyDescent="0.3">
      <c r="A348">
        <v>897</v>
      </c>
      <c r="B348" s="3">
        <v>6.6286404555023388</v>
      </c>
      <c r="C348" s="2">
        <v>7.3073806247415778</v>
      </c>
      <c r="D348" s="1">
        <v>1.1713132765910024</v>
      </c>
      <c r="E348" s="9">
        <f t="shared" si="40"/>
        <v>1.8268451561853944</v>
      </c>
      <c r="F348" s="3">
        <f t="shared" si="41"/>
        <v>2.3426265531820048E-2</v>
      </c>
      <c r="G348">
        <f t="shared" ca="1" si="42"/>
        <v>0</v>
      </c>
      <c r="H348" s="9">
        <f t="shared" ca="1" si="43"/>
        <v>0</v>
      </c>
      <c r="I348" s="12">
        <f t="shared" si="44"/>
        <v>0</v>
      </c>
      <c r="J348" s="30">
        <f t="shared" ca="1" si="45"/>
        <v>-1.8268451561853944</v>
      </c>
      <c r="K348" s="45">
        <f t="shared" ca="1" si="46"/>
        <v>-0.27559876998140043</v>
      </c>
      <c r="L348" s="35">
        <f t="shared" si="47"/>
        <v>-953.41176980656451</v>
      </c>
      <c r="P348" s="9"/>
      <c r="Q348" s="26"/>
    </row>
    <row r="349" spans="1:17" x14ac:dyDescent="0.3">
      <c r="A349">
        <v>466</v>
      </c>
      <c r="B349" s="3">
        <v>5.2486953648089152</v>
      </c>
      <c r="C349" s="2">
        <v>6.8191733528805027</v>
      </c>
      <c r="D349" s="1">
        <v>0.69438688024081152</v>
      </c>
      <c r="E349" s="9">
        <f t="shared" si="40"/>
        <v>1.7047933382201257</v>
      </c>
      <c r="F349" s="3">
        <f t="shared" si="41"/>
        <v>1.3887737604816231E-2</v>
      </c>
      <c r="G349">
        <f t="shared" ca="1" si="42"/>
        <v>1</v>
      </c>
      <c r="H349" s="9">
        <f t="shared" ca="1" si="43"/>
        <v>25</v>
      </c>
      <c r="I349" s="12">
        <f t="shared" si="44"/>
        <v>0</v>
      </c>
      <c r="J349" s="30">
        <f t="shared" ca="1" si="45"/>
        <v>23.295206661779876</v>
      </c>
      <c r="K349" s="45">
        <f t="shared" ca="1" si="46"/>
        <v>4.4382851437650475</v>
      </c>
      <c r="L349" s="35">
        <f t="shared" si="47"/>
        <v>-958.6604651713734</v>
      </c>
      <c r="P349" s="9"/>
      <c r="Q349" s="26"/>
    </row>
    <row r="350" spans="1:17" x14ac:dyDescent="0.3">
      <c r="A350">
        <v>1065</v>
      </c>
      <c r="B350" s="3">
        <v>4.5046233603596777</v>
      </c>
      <c r="C350" s="2">
        <v>6.6069166427950581</v>
      </c>
      <c r="D350" s="1">
        <v>0.45500751961231134</v>
      </c>
      <c r="E350" s="9">
        <f t="shared" si="40"/>
        <v>1.6517291606987645</v>
      </c>
      <c r="F350" s="3">
        <f t="shared" si="41"/>
        <v>9.1001503922462264E-3</v>
      </c>
      <c r="G350">
        <f t="shared" ca="1" si="42"/>
        <v>1</v>
      </c>
      <c r="H350" s="9">
        <f t="shared" ca="1" si="43"/>
        <v>25</v>
      </c>
      <c r="I350" s="12">
        <f t="shared" si="44"/>
        <v>0</v>
      </c>
      <c r="J350" s="30">
        <f t="shared" ca="1" si="45"/>
        <v>23.348270839301236</v>
      </c>
      <c r="K350" s="45">
        <f t="shared" ca="1" si="46"/>
        <v>5.1831793629549887</v>
      </c>
      <c r="L350" s="35">
        <f t="shared" si="47"/>
        <v>-963.16508853173309</v>
      </c>
      <c r="P350" s="9"/>
      <c r="Q350" s="26"/>
    </row>
    <row r="351" spans="1:17" x14ac:dyDescent="0.3">
      <c r="A351">
        <v>931</v>
      </c>
      <c r="B351" s="3">
        <v>2.7904960506969556</v>
      </c>
      <c r="C351" s="2">
        <v>5.2130440978829906</v>
      </c>
      <c r="D351" s="1">
        <v>0.93002087125522115</v>
      </c>
      <c r="E351" s="9">
        <f t="shared" si="40"/>
        <v>1.3032610244707477</v>
      </c>
      <c r="F351" s="3">
        <f t="shared" si="41"/>
        <v>1.8600417425104425E-2</v>
      </c>
      <c r="G351">
        <f t="shared" ca="1" si="42"/>
        <v>1</v>
      </c>
      <c r="H351" s="9">
        <f t="shared" ca="1" si="43"/>
        <v>25</v>
      </c>
      <c r="I351" s="12">
        <f t="shared" si="44"/>
        <v>0</v>
      </c>
      <c r="J351" s="30">
        <f t="shared" ca="1" si="45"/>
        <v>23.696738975529254</v>
      </c>
      <c r="K351" s="45">
        <f t="shared" ca="1" si="46"/>
        <v>8.4919449965215836</v>
      </c>
      <c r="L351" s="35">
        <f t="shared" si="47"/>
        <v>-965.95558458242999</v>
      </c>
      <c r="P351" s="9"/>
      <c r="Q351" s="26"/>
    </row>
    <row r="352" spans="1:17" x14ac:dyDescent="0.3">
      <c r="A352">
        <v>162</v>
      </c>
      <c r="B352" s="3">
        <v>2.7340007245007492</v>
      </c>
      <c r="C352" s="2">
        <v>6.5138259157154987</v>
      </c>
      <c r="D352" s="1">
        <v>0.55763237642495711</v>
      </c>
      <c r="E352" s="9">
        <f t="shared" si="40"/>
        <v>1.6284564789288747</v>
      </c>
      <c r="F352" s="3">
        <f t="shared" si="41"/>
        <v>1.1152647528499142E-2</v>
      </c>
      <c r="G352">
        <f t="shared" ca="1" si="42"/>
        <v>0</v>
      </c>
      <c r="H352" s="9">
        <f t="shared" ca="1" si="43"/>
        <v>0</v>
      </c>
      <c r="I352" s="12">
        <f t="shared" si="44"/>
        <v>0</v>
      </c>
      <c r="J352" s="30">
        <f t="shared" ca="1" si="45"/>
        <v>-1.6284564789288747</v>
      </c>
      <c r="K352" s="45">
        <f t="shared" ca="1" si="46"/>
        <v>-0.59563132677159192</v>
      </c>
      <c r="L352" s="35">
        <f t="shared" si="47"/>
        <v>-968.68958530693078</v>
      </c>
      <c r="P352" s="9"/>
      <c r="Q352" s="26"/>
    </row>
    <row r="353" spans="1:17" x14ac:dyDescent="0.3">
      <c r="A353">
        <v>672</v>
      </c>
      <c r="B353" s="3">
        <v>2.8647528313665784</v>
      </c>
      <c r="C353" s="2">
        <v>7.8910227000544069</v>
      </c>
      <c r="D353" s="1">
        <v>0.51807171740766522</v>
      </c>
      <c r="E353" s="9">
        <f t="shared" si="40"/>
        <v>1.9727556750136017</v>
      </c>
      <c r="F353" s="3">
        <f t="shared" si="41"/>
        <v>1.0361434348153304E-2</v>
      </c>
      <c r="G353">
        <f t="shared" ca="1" si="42"/>
        <v>1</v>
      </c>
      <c r="H353" s="9">
        <f t="shared" ca="1" si="43"/>
        <v>25</v>
      </c>
      <c r="I353" s="12">
        <f t="shared" si="44"/>
        <v>0</v>
      </c>
      <c r="J353" s="30">
        <f t="shared" ca="1" si="45"/>
        <v>23.027244324986398</v>
      </c>
      <c r="K353" s="45">
        <f t="shared" ca="1" si="46"/>
        <v>8.0381260375617352</v>
      </c>
      <c r="L353" s="35">
        <f t="shared" si="47"/>
        <v>-971.55433813829734</v>
      </c>
      <c r="P353" s="9"/>
      <c r="Q353" s="26"/>
    </row>
    <row r="354" spans="1:17" x14ac:dyDescent="0.3">
      <c r="A354">
        <v>390</v>
      </c>
      <c r="B354" s="3">
        <v>4.7303052822952889</v>
      </c>
      <c r="C354" s="2">
        <v>14.425084627125706</v>
      </c>
      <c r="D354" s="1">
        <v>2.5764676632300247</v>
      </c>
      <c r="E354" s="9">
        <f t="shared" si="40"/>
        <v>3.6062711567814265</v>
      </c>
      <c r="F354" s="3">
        <f t="shared" si="41"/>
        <v>5.1529353264600494E-2</v>
      </c>
      <c r="G354">
        <f t="shared" ca="1" si="42"/>
        <v>3</v>
      </c>
      <c r="H354" s="9">
        <f t="shared" ca="1" si="43"/>
        <v>75</v>
      </c>
      <c r="I354" s="12">
        <f t="shared" si="44"/>
        <v>0</v>
      </c>
      <c r="J354" s="30">
        <f t="shared" ca="1" si="45"/>
        <v>71.393728843218568</v>
      </c>
      <c r="K354" s="45">
        <f t="shared" ca="1" si="46"/>
        <v>15.092837477198966</v>
      </c>
      <c r="L354" s="35">
        <f t="shared" si="47"/>
        <v>-976.2846434205926</v>
      </c>
      <c r="P354" s="9"/>
      <c r="Q354" s="26"/>
    </row>
    <row r="355" spans="1:17" x14ac:dyDescent="0.3">
      <c r="A355">
        <v>699</v>
      </c>
      <c r="B355" s="3">
        <v>1.6246667550754856</v>
      </c>
      <c r="C355" s="2">
        <v>5.280976264994508</v>
      </c>
      <c r="D355" s="1">
        <v>1.1087132762950658</v>
      </c>
      <c r="E355" s="9">
        <f t="shared" si="40"/>
        <v>1.320244066248627</v>
      </c>
      <c r="F355" s="3">
        <f t="shared" si="41"/>
        <v>2.2174265525901318E-2</v>
      </c>
      <c r="G355">
        <f t="shared" ca="1" si="42"/>
        <v>3</v>
      </c>
      <c r="H355" s="9">
        <f t="shared" ca="1" si="43"/>
        <v>75</v>
      </c>
      <c r="I355" s="12">
        <f t="shared" si="44"/>
        <v>0</v>
      </c>
      <c r="J355" s="30">
        <f t="shared" ca="1" si="45"/>
        <v>73.679755933751366</v>
      </c>
      <c r="K355" s="45">
        <f t="shared" ca="1" si="46"/>
        <v>45.350688504934688</v>
      </c>
      <c r="L355" s="35">
        <f t="shared" si="47"/>
        <v>-977.90931017566811</v>
      </c>
      <c r="P355" s="9"/>
      <c r="Q355" s="26"/>
    </row>
    <row r="356" spans="1:17" x14ac:dyDescent="0.3">
      <c r="A356">
        <v>821</v>
      </c>
      <c r="B356" s="3">
        <v>2.0467901820589676</v>
      </c>
      <c r="C356" s="2">
        <v>6.9242576765975787</v>
      </c>
      <c r="D356" s="1">
        <v>2.2294676822866899</v>
      </c>
      <c r="E356" s="9">
        <f t="shared" si="40"/>
        <v>1.7310644191493947</v>
      </c>
      <c r="F356" s="3">
        <f t="shared" si="41"/>
        <v>4.4589353645733798E-2</v>
      </c>
      <c r="G356">
        <f t="shared" ca="1" si="42"/>
        <v>2</v>
      </c>
      <c r="H356" s="9">
        <f t="shared" ca="1" si="43"/>
        <v>50</v>
      </c>
      <c r="I356" s="12">
        <f t="shared" si="44"/>
        <v>0</v>
      </c>
      <c r="J356" s="30">
        <f t="shared" ca="1" si="45"/>
        <v>48.268935580850602</v>
      </c>
      <c r="K356" s="45">
        <f t="shared" ca="1" si="46"/>
        <v>23.582747271288202</v>
      </c>
      <c r="L356" s="35">
        <f t="shared" si="47"/>
        <v>-979.95610035772711</v>
      </c>
      <c r="P356" s="9"/>
      <c r="Q356" s="26"/>
    </row>
    <row r="357" spans="1:17" x14ac:dyDescent="0.3">
      <c r="A357">
        <v>1010</v>
      </c>
      <c r="B357" s="3">
        <v>2.9190005587012378</v>
      </c>
      <c r="C357" s="2">
        <v>12.621180904158525</v>
      </c>
      <c r="D357" s="1">
        <v>0.39844708922441924</v>
      </c>
      <c r="E357" s="9">
        <f t="shared" si="40"/>
        <v>3.1552952260396312</v>
      </c>
      <c r="F357" s="3">
        <f t="shared" si="41"/>
        <v>7.9689417844883842E-3</v>
      </c>
      <c r="G357">
        <f t="shared" ca="1" si="42"/>
        <v>1</v>
      </c>
      <c r="H357" s="9">
        <f t="shared" ca="1" si="43"/>
        <v>25</v>
      </c>
      <c r="I357" s="12">
        <f t="shared" si="44"/>
        <v>0</v>
      </c>
      <c r="J357" s="30">
        <f t="shared" ca="1" si="45"/>
        <v>21.84470477396037</v>
      </c>
      <c r="K357" s="45">
        <f t="shared" ca="1" si="46"/>
        <v>7.4836247320486358</v>
      </c>
      <c r="L357" s="35">
        <f t="shared" si="47"/>
        <v>-982.87510091642832</v>
      </c>
      <c r="P357" s="9"/>
      <c r="Q357" s="26"/>
    </row>
    <row r="358" spans="1:17" x14ac:dyDescent="0.3">
      <c r="A358">
        <v>786</v>
      </c>
      <c r="B358" s="3">
        <v>3.5056946362520494</v>
      </c>
      <c r="C358" s="2">
        <v>18.906349871770967</v>
      </c>
      <c r="D358" s="1">
        <v>2.4877881986111685</v>
      </c>
      <c r="E358" s="9">
        <f t="shared" si="40"/>
        <v>4.7265874679427418</v>
      </c>
      <c r="F358" s="3">
        <f t="shared" si="41"/>
        <v>4.9755763972223373E-2</v>
      </c>
      <c r="G358">
        <f t="shared" ca="1" si="42"/>
        <v>2</v>
      </c>
      <c r="H358" s="9">
        <f t="shared" ca="1" si="43"/>
        <v>50</v>
      </c>
      <c r="I358" s="12">
        <f t="shared" si="44"/>
        <v>0</v>
      </c>
      <c r="J358" s="30">
        <f t="shared" ca="1" si="45"/>
        <v>45.273412532057257</v>
      </c>
      <c r="K358" s="45">
        <f t="shared" ca="1" si="46"/>
        <v>12.914248738007377</v>
      </c>
      <c r="L358" s="35">
        <f t="shared" si="47"/>
        <v>-986.38079555268041</v>
      </c>
      <c r="P358" s="9"/>
      <c r="Q358" s="26"/>
    </row>
    <row r="359" spans="1:17" x14ac:dyDescent="0.3">
      <c r="A359">
        <v>623</v>
      </c>
      <c r="B359" s="3">
        <v>3.1004017666829631</v>
      </c>
      <c r="C359" s="2">
        <v>19.699325486391615</v>
      </c>
      <c r="D359" s="1">
        <v>1.0853579594993954</v>
      </c>
      <c r="E359" s="9">
        <f t="shared" si="40"/>
        <v>4.9248313715979037</v>
      </c>
      <c r="F359" s="3">
        <f t="shared" si="41"/>
        <v>2.1707159189987908E-2</v>
      </c>
      <c r="G359">
        <f t="shared" ca="1" si="42"/>
        <v>0</v>
      </c>
      <c r="H359" s="9">
        <f t="shared" ca="1" si="43"/>
        <v>0</v>
      </c>
      <c r="I359" s="12">
        <f t="shared" si="44"/>
        <v>0</v>
      </c>
      <c r="J359" s="30">
        <f t="shared" ca="1" si="45"/>
        <v>-4.9248313715979037</v>
      </c>
      <c r="K359" s="45">
        <f t="shared" ca="1" si="46"/>
        <v>-1.5884494146920993</v>
      </c>
      <c r="L359" s="35">
        <f t="shared" si="47"/>
        <v>-989.48119731936333</v>
      </c>
      <c r="P359" s="9"/>
      <c r="Q359" s="26"/>
    </row>
    <row r="360" spans="1:17" x14ac:dyDescent="0.3">
      <c r="A360">
        <v>328</v>
      </c>
      <c r="B360" s="3">
        <v>9.6967657857914666</v>
      </c>
      <c r="C360" s="2">
        <v>64.717641157399143</v>
      </c>
      <c r="D360" s="1">
        <v>3.2170001967519184</v>
      </c>
      <c r="E360" s="9">
        <f t="shared" si="40"/>
        <v>16.179410289349786</v>
      </c>
      <c r="F360" s="3">
        <f t="shared" si="41"/>
        <v>6.4340003935038373E-2</v>
      </c>
      <c r="G360">
        <f t="shared" ca="1" si="42"/>
        <v>3</v>
      </c>
      <c r="H360" s="9">
        <f t="shared" ca="1" si="43"/>
        <v>75</v>
      </c>
      <c r="I360" s="12">
        <f t="shared" si="44"/>
        <v>0</v>
      </c>
      <c r="J360" s="30">
        <f t="shared" ca="1" si="45"/>
        <v>58.820589710650211</v>
      </c>
      <c r="K360" s="45">
        <f t="shared" ca="1" si="46"/>
        <v>6.0660008718411236</v>
      </c>
      <c r="L360" s="35">
        <f t="shared" si="47"/>
        <v>-999.17796310515484</v>
      </c>
      <c r="P360" s="9"/>
      <c r="Q360" s="26"/>
    </row>
    <row r="361" spans="1:17" x14ac:dyDescent="0.3">
      <c r="A361">
        <v>673</v>
      </c>
      <c r="B361" s="3">
        <v>3.1670365844159507</v>
      </c>
      <c r="C361" s="2">
        <v>21.377246885523416</v>
      </c>
      <c r="D361" s="1">
        <v>0.70046466229124305</v>
      </c>
      <c r="E361" s="9">
        <f t="shared" si="40"/>
        <v>5.344311721380854</v>
      </c>
      <c r="F361" s="3">
        <f t="shared" si="41"/>
        <v>1.4009293245824861E-2</v>
      </c>
      <c r="G361">
        <f t="shared" ca="1" si="42"/>
        <v>0</v>
      </c>
      <c r="H361" s="9">
        <f t="shared" ca="1" si="43"/>
        <v>0</v>
      </c>
      <c r="I361" s="12">
        <f t="shared" si="44"/>
        <v>0</v>
      </c>
      <c r="J361" s="30">
        <f t="shared" ca="1" si="45"/>
        <v>-5.344311721380854</v>
      </c>
      <c r="K361" s="45">
        <f t="shared" ca="1" si="46"/>
        <v>-1.6874802607834181</v>
      </c>
      <c r="L361" s="35">
        <f t="shared" si="47"/>
        <v>-1002.3449996895708</v>
      </c>
      <c r="P361" s="9"/>
      <c r="Q361" s="26"/>
    </row>
    <row r="362" spans="1:17" x14ac:dyDescent="0.3">
      <c r="A362">
        <v>512</v>
      </c>
      <c r="B362" s="3">
        <v>9.520233719062384</v>
      </c>
      <c r="C362" s="2">
        <v>66.494999852687727</v>
      </c>
      <c r="D362" s="1">
        <v>2.9838461418983462</v>
      </c>
      <c r="E362" s="9">
        <f t="shared" si="40"/>
        <v>16.623749963171932</v>
      </c>
      <c r="F362" s="3">
        <f t="shared" si="41"/>
        <v>5.9676922837966925E-2</v>
      </c>
      <c r="G362">
        <f t="shared" ca="1" si="42"/>
        <v>3</v>
      </c>
      <c r="H362" s="9">
        <f t="shared" ca="1" si="43"/>
        <v>75</v>
      </c>
      <c r="I362" s="12">
        <f t="shared" si="44"/>
        <v>0</v>
      </c>
      <c r="J362" s="30">
        <f t="shared" ca="1" si="45"/>
        <v>58.376250036828068</v>
      </c>
      <c r="K362" s="45">
        <f t="shared" ca="1" si="46"/>
        <v>6.1318084996108002</v>
      </c>
      <c r="L362" s="35">
        <f t="shared" si="47"/>
        <v>-1011.8652334086332</v>
      </c>
      <c r="P362" s="9"/>
      <c r="Q362" s="26"/>
    </row>
    <row r="363" spans="1:17" x14ac:dyDescent="0.3">
      <c r="A363">
        <v>376</v>
      </c>
      <c r="B363" s="3">
        <v>4.1996041412701492</v>
      </c>
      <c r="C363" s="2">
        <v>29.554887407468321</v>
      </c>
      <c r="D363" s="1">
        <v>2.3762487805115771</v>
      </c>
      <c r="E363" s="9">
        <f t="shared" si="40"/>
        <v>7.3887218518670803</v>
      </c>
      <c r="F363" s="3">
        <f t="shared" si="41"/>
        <v>4.7524975610231543E-2</v>
      </c>
      <c r="G363">
        <f t="shared" ca="1" si="42"/>
        <v>1</v>
      </c>
      <c r="H363" s="9">
        <f t="shared" ca="1" si="43"/>
        <v>25</v>
      </c>
      <c r="I363" s="12">
        <f t="shared" si="44"/>
        <v>0</v>
      </c>
      <c r="J363" s="30">
        <f t="shared" ca="1" si="45"/>
        <v>17.611278148132918</v>
      </c>
      <c r="K363" s="45">
        <f t="shared" ca="1" si="46"/>
        <v>4.193556715278044</v>
      </c>
      <c r="L363" s="35">
        <f t="shared" si="47"/>
        <v>-1016.0648375499034</v>
      </c>
      <c r="P363" s="9"/>
      <c r="Q363" s="26"/>
    </row>
    <row r="364" spans="1:17" x14ac:dyDescent="0.3">
      <c r="A364">
        <v>211</v>
      </c>
      <c r="B364" s="3">
        <v>0.81867101102743978</v>
      </c>
      <c r="C364" s="2">
        <v>5.887416434062831</v>
      </c>
      <c r="D364" s="1">
        <v>0.46608038839524435</v>
      </c>
      <c r="E364" s="9">
        <f t="shared" si="40"/>
        <v>1.4718541085157077</v>
      </c>
      <c r="F364" s="3">
        <f t="shared" si="41"/>
        <v>9.3216077679048864E-3</v>
      </c>
      <c r="G364">
        <f t="shared" ca="1" si="42"/>
        <v>1</v>
      </c>
      <c r="H364" s="9">
        <f t="shared" ca="1" si="43"/>
        <v>25</v>
      </c>
      <c r="I364" s="12">
        <f t="shared" si="44"/>
        <v>0</v>
      </c>
      <c r="J364" s="30">
        <f t="shared" ca="1" si="45"/>
        <v>23.528145891484293</v>
      </c>
      <c r="K364" s="45">
        <f t="shared" ca="1" si="46"/>
        <v>28.739439377432273</v>
      </c>
      <c r="L364" s="35">
        <f t="shared" si="47"/>
        <v>-1016.8835085609307</v>
      </c>
      <c r="P364" s="9"/>
      <c r="Q364" s="26"/>
    </row>
    <row r="365" spans="1:17" x14ac:dyDescent="0.3">
      <c r="A365">
        <v>229</v>
      </c>
      <c r="B365" s="3">
        <v>1.9197897374801554</v>
      </c>
      <c r="C365" s="2">
        <v>18.110023918022566</v>
      </c>
      <c r="D365" s="1">
        <v>0.93783842852660837</v>
      </c>
      <c r="E365" s="9">
        <f t="shared" si="40"/>
        <v>4.5275059795056416</v>
      </c>
      <c r="F365" s="3">
        <f t="shared" si="41"/>
        <v>1.8756768570532167E-2</v>
      </c>
      <c r="G365">
        <f t="shared" ca="1" si="42"/>
        <v>0</v>
      </c>
      <c r="H365" s="9">
        <f t="shared" ca="1" si="43"/>
        <v>0</v>
      </c>
      <c r="I365" s="12">
        <f t="shared" si="44"/>
        <v>0</v>
      </c>
      <c r="J365" s="30">
        <f t="shared" ca="1" si="45"/>
        <v>-4.5275059795056416</v>
      </c>
      <c r="K365" s="45">
        <f t="shared" ca="1" si="46"/>
        <v>-2.3583342962590672</v>
      </c>
      <c r="L365" s="35">
        <f t="shared" si="47"/>
        <v>-1018.8032982984109</v>
      </c>
      <c r="P365" s="9"/>
      <c r="Q365" s="26"/>
    </row>
    <row r="366" spans="1:17" x14ac:dyDescent="0.3">
      <c r="A366">
        <v>651</v>
      </c>
      <c r="B366" s="3">
        <v>4.4233048154916244</v>
      </c>
      <c r="C366" s="2">
        <v>45.662641339681144</v>
      </c>
      <c r="D366" s="1">
        <v>2.5845324024900549</v>
      </c>
      <c r="E366" s="9">
        <f t="shared" si="40"/>
        <v>11.415660334920286</v>
      </c>
      <c r="F366" s="3">
        <f t="shared" si="41"/>
        <v>5.16906480498011E-2</v>
      </c>
      <c r="G366">
        <f t="shared" ca="1" si="42"/>
        <v>3</v>
      </c>
      <c r="H366" s="9">
        <f t="shared" ca="1" si="43"/>
        <v>75</v>
      </c>
      <c r="I366" s="12">
        <f t="shared" si="44"/>
        <v>0</v>
      </c>
      <c r="J366" s="30">
        <f t="shared" ca="1" si="45"/>
        <v>63.58433966507971</v>
      </c>
      <c r="K366" s="45">
        <f t="shared" ca="1" si="46"/>
        <v>14.374849194744606</v>
      </c>
      <c r="L366" s="35">
        <f t="shared" si="47"/>
        <v>-1023.2266031139026</v>
      </c>
      <c r="P366" s="9"/>
      <c r="Q366" s="26"/>
    </row>
    <row r="367" spans="1:17" x14ac:dyDescent="0.3">
      <c r="A367">
        <v>148</v>
      </c>
      <c r="B367" s="3">
        <v>3.8395221550412728</v>
      </c>
      <c r="C367" s="2">
        <v>40.518740678181651</v>
      </c>
      <c r="D367" s="1">
        <v>3.0738627037790183</v>
      </c>
      <c r="E367" s="9">
        <f t="shared" si="40"/>
        <v>10.129685169545413</v>
      </c>
      <c r="F367" s="3">
        <f t="shared" si="41"/>
        <v>6.1477254075580363E-2</v>
      </c>
      <c r="G367">
        <f t="shared" ca="1" si="42"/>
        <v>4</v>
      </c>
      <c r="H367" s="9">
        <f t="shared" ca="1" si="43"/>
        <v>100</v>
      </c>
      <c r="I367" s="12">
        <f t="shared" si="44"/>
        <v>0</v>
      </c>
      <c r="J367" s="30">
        <f t="shared" ca="1" si="45"/>
        <v>89.870314830454589</v>
      </c>
      <c r="K367" s="45">
        <f t="shared" ca="1" si="46"/>
        <v>23.406640514485723</v>
      </c>
      <c r="L367" s="35">
        <f t="shared" si="47"/>
        <v>-1027.0661252689438</v>
      </c>
      <c r="P367" s="9"/>
      <c r="Q367" s="26"/>
    </row>
    <row r="368" spans="1:17" x14ac:dyDescent="0.3">
      <c r="A368">
        <v>1030</v>
      </c>
      <c r="B368" s="3">
        <v>2.4744148419726821</v>
      </c>
      <c r="C368" s="2">
        <v>29.472610184926829</v>
      </c>
      <c r="D368" s="1">
        <v>0.66453752551288514</v>
      </c>
      <c r="E368" s="9">
        <f t="shared" si="40"/>
        <v>7.3681525462317072</v>
      </c>
      <c r="F368" s="3">
        <f t="shared" si="41"/>
        <v>1.3290750510257703E-2</v>
      </c>
      <c r="G368">
        <f t="shared" ca="1" si="42"/>
        <v>0</v>
      </c>
      <c r="H368" s="9">
        <f t="shared" ca="1" si="43"/>
        <v>0</v>
      </c>
      <c r="I368" s="12">
        <f t="shared" si="44"/>
        <v>0</v>
      </c>
      <c r="J368" s="30">
        <f t="shared" ca="1" si="45"/>
        <v>-7.3681525462317072</v>
      </c>
      <c r="K368" s="45">
        <f t="shared" ca="1" si="46"/>
        <v>-2.9777353502929937</v>
      </c>
      <c r="L368" s="35">
        <f t="shared" si="47"/>
        <v>-1029.5405401109165</v>
      </c>
      <c r="P368" s="9"/>
      <c r="Q368" s="26"/>
    </row>
    <row r="369" spans="1:17" x14ac:dyDescent="0.3">
      <c r="A369">
        <v>330</v>
      </c>
      <c r="B369" s="3">
        <v>3.0274886309987448</v>
      </c>
      <c r="C369" s="2">
        <v>36.810837627439419</v>
      </c>
      <c r="D369" s="1">
        <v>2.1375066398789611</v>
      </c>
      <c r="E369" s="9">
        <f t="shared" si="40"/>
        <v>9.2027094068598547</v>
      </c>
      <c r="F369" s="3">
        <f t="shared" si="41"/>
        <v>4.2750132797579221E-2</v>
      </c>
      <c r="G369">
        <f t="shared" ca="1" si="42"/>
        <v>1</v>
      </c>
      <c r="H369" s="9">
        <f t="shared" ca="1" si="43"/>
        <v>25</v>
      </c>
      <c r="I369" s="12">
        <f t="shared" si="44"/>
        <v>0</v>
      </c>
      <c r="J369" s="30">
        <f t="shared" ca="1" si="45"/>
        <v>15.797290593140145</v>
      </c>
      <c r="K369" s="45">
        <f t="shared" ca="1" si="46"/>
        <v>5.2179520779665962</v>
      </c>
      <c r="L369" s="35">
        <f t="shared" si="47"/>
        <v>-1032.5680287419152</v>
      </c>
      <c r="P369" s="9"/>
      <c r="Q369" s="26"/>
    </row>
    <row r="370" spans="1:17" x14ac:dyDescent="0.3">
      <c r="A370">
        <v>245</v>
      </c>
      <c r="B370" s="3">
        <v>2.7442337372913581</v>
      </c>
      <c r="C370" s="2">
        <v>38.775855511551626</v>
      </c>
      <c r="D370" s="1">
        <v>1.7461423990574174</v>
      </c>
      <c r="E370" s="9">
        <f t="shared" si="40"/>
        <v>9.6939638778879065</v>
      </c>
      <c r="F370" s="3">
        <f t="shared" si="41"/>
        <v>3.492284798114835E-2</v>
      </c>
      <c r="G370">
        <f t="shared" ca="1" si="42"/>
        <v>2</v>
      </c>
      <c r="H370" s="9">
        <f t="shared" ca="1" si="43"/>
        <v>50</v>
      </c>
      <c r="I370" s="12">
        <f t="shared" si="44"/>
        <v>0</v>
      </c>
      <c r="J370" s="30">
        <f t="shared" ca="1" si="45"/>
        <v>40.30603612211209</v>
      </c>
      <c r="K370" s="45">
        <f t="shared" ca="1" si="46"/>
        <v>14.687537571743203</v>
      </c>
      <c r="L370" s="35">
        <f t="shared" si="47"/>
        <v>-1035.3122624792065</v>
      </c>
      <c r="P370" s="9"/>
      <c r="Q370" s="26"/>
    </row>
    <row r="371" spans="1:17" x14ac:dyDescent="0.3">
      <c r="A371">
        <v>742</v>
      </c>
      <c r="B371" s="3">
        <v>2.1823003598291999</v>
      </c>
      <c r="C371" s="2">
        <v>30.954761397170969</v>
      </c>
      <c r="D371" s="1">
        <v>0.60665800017133842</v>
      </c>
      <c r="E371" s="9">
        <f t="shared" si="40"/>
        <v>7.7386903492927424</v>
      </c>
      <c r="F371" s="3">
        <f t="shared" si="41"/>
        <v>1.2133160003426768E-2</v>
      </c>
      <c r="G371">
        <f t="shared" ca="1" si="42"/>
        <v>1</v>
      </c>
      <c r="H371" s="9">
        <f t="shared" ca="1" si="43"/>
        <v>25</v>
      </c>
      <c r="I371" s="12">
        <f t="shared" si="44"/>
        <v>0</v>
      </c>
      <c r="J371" s="30">
        <f t="shared" ca="1" si="45"/>
        <v>17.261309650707258</v>
      </c>
      <c r="K371" s="45">
        <f t="shared" ca="1" si="46"/>
        <v>7.909685563200032</v>
      </c>
      <c r="L371" s="35">
        <f t="shared" si="47"/>
        <v>-1037.4945628390358</v>
      </c>
      <c r="P371" s="9"/>
      <c r="Q371" s="26"/>
    </row>
    <row r="372" spans="1:17" x14ac:dyDescent="0.3">
      <c r="A372">
        <v>349</v>
      </c>
      <c r="B372" s="3">
        <v>3.7569017588142719</v>
      </c>
      <c r="C372" s="2">
        <v>53.684848364089433</v>
      </c>
      <c r="D372" s="1">
        <v>2.0595506798755885</v>
      </c>
      <c r="E372" s="9">
        <f t="shared" si="40"/>
        <v>13.421212091022358</v>
      </c>
      <c r="F372" s="3">
        <f t="shared" si="41"/>
        <v>4.1191013597511768E-2</v>
      </c>
      <c r="G372">
        <f t="shared" ca="1" si="42"/>
        <v>1</v>
      </c>
      <c r="H372" s="9">
        <f t="shared" ca="1" si="43"/>
        <v>25</v>
      </c>
      <c r="I372" s="12">
        <f t="shared" si="44"/>
        <v>0</v>
      </c>
      <c r="J372" s="30">
        <f t="shared" ca="1" si="45"/>
        <v>11.578787908977642</v>
      </c>
      <c r="K372" s="45">
        <f t="shared" ca="1" si="46"/>
        <v>3.082004442041109</v>
      </c>
      <c r="L372" s="35">
        <f t="shared" si="47"/>
        <v>-1041.2514645978501</v>
      </c>
      <c r="P372" s="9"/>
      <c r="Q372" s="26"/>
    </row>
    <row r="373" spans="1:17" x14ac:dyDescent="0.3">
      <c r="A373">
        <v>633</v>
      </c>
      <c r="B373" s="3">
        <v>3.3668647998093402</v>
      </c>
      <c r="C373" s="2">
        <v>48.392565898159553</v>
      </c>
      <c r="D373" s="1">
        <v>1.8762014902635056</v>
      </c>
      <c r="E373" s="9">
        <f t="shared" si="40"/>
        <v>12.098141474539888</v>
      </c>
      <c r="F373" s="3">
        <f t="shared" si="41"/>
        <v>3.7524029805270115E-2</v>
      </c>
      <c r="G373">
        <f t="shared" ca="1" si="42"/>
        <v>1</v>
      </c>
      <c r="H373" s="9">
        <f t="shared" ca="1" si="43"/>
        <v>25</v>
      </c>
      <c r="I373" s="12">
        <f t="shared" si="44"/>
        <v>0</v>
      </c>
      <c r="J373" s="30">
        <f t="shared" ca="1" si="45"/>
        <v>12.901858525460112</v>
      </c>
      <c r="K373" s="45">
        <f t="shared" ca="1" si="46"/>
        <v>3.8320096863380799</v>
      </c>
      <c r="L373" s="35">
        <f t="shared" si="47"/>
        <v>-1044.6183293976594</v>
      </c>
      <c r="P373" s="9"/>
      <c r="Q373" s="26"/>
    </row>
    <row r="374" spans="1:17" x14ac:dyDescent="0.3">
      <c r="A374">
        <v>408</v>
      </c>
      <c r="B374" s="3">
        <v>3.1328311926868349</v>
      </c>
      <c r="C374" s="2">
        <v>50.531042893314527</v>
      </c>
      <c r="D374" s="1">
        <v>1.445820181648275</v>
      </c>
      <c r="E374" s="9">
        <f t="shared" si="40"/>
        <v>12.632760723328632</v>
      </c>
      <c r="F374" s="3">
        <f t="shared" si="41"/>
        <v>2.89164036329655E-2</v>
      </c>
      <c r="G374">
        <f t="shared" ca="1" si="42"/>
        <v>1</v>
      </c>
      <c r="H374" s="9">
        <f t="shared" ca="1" si="43"/>
        <v>25</v>
      </c>
      <c r="I374" s="12">
        <f t="shared" si="44"/>
        <v>0</v>
      </c>
      <c r="J374" s="30">
        <f t="shared" ca="1" si="45"/>
        <v>12.367239276671368</v>
      </c>
      <c r="K374" s="45">
        <f t="shared" ca="1" si="46"/>
        <v>3.9476238954530949</v>
      </c>
      <c r="L374" s="35">
        <f t="shared" si="47"/>
        <v>-1047.7511605903462</v>
      </c>
      <c r="P374" s="9"/>
      <c r="Q374" s="26"/>
    </row>
    <row r="375" spans="1:17" x14ac:dyDescent="0.3">
      <c r="A375">
        <v>106</v>
      </c>
      <c r="B375" s="3">
        <v>1.7749600690362932</v>
      </c>
      <c r="C375" s="2">
        <v>28.688825017315832</v>
      </c>
      <c r="D375" s="1">
        <v>1.2547521838619498</v>
      </c>
      <c r="E375" s="9">
        <f t="shared" si="40"/>
        <v>7.172206254328958</v>
      </c>
      <c r="F375" s="3">
        <f t="shared" si="41"/>
        <v>2.5095043677238995E-2</v>
      </c>
      <c r="G375">
        <f t="shared" ca="1" si="42"/>
        <v>1</v>
      </c>
      <c r="H375" s="9">
        <f t="shared" ca="1" si="43"/>
        <v>25</v>
      </c>
      <c r="I375" s="12">
        <f t="shared" si="44"/>
        <v>0</v>
      </c>
      <c r="J375" s="30">
        <f t="shared" ca="1" si="45"/>
        <v>17.827793745671041</v>
      </c>
      <c r="K375" s="45">
        <f t="shared" ca="1" si="46"/>
        <v>10.044053416565344</v>
      </c>
      <c r="L375" s="35">
        <f t="shared" si="47"/>
        <v>-1049.5261206593825</v>
      </c>
      <c r="P375" s="9"/>
      <c r="Q375" s="26"/>
    </row>
    <row r="376" spans="1:17" x14ac:dyDescent="0.3">
      <c r="A376">
        <v>523</v>
      </c>
      <c r="B376" s="3">
        <v>1.1308325558149801</v>
      </c>
      <c r="C376" s="2">
        <v>19.756648686936952</v>
      </c>
      <c r="D376" s="1">
        <v>0.45532453933257716</v>
      </c>
      <c r="E376" s="9">
        <f t="shared" si="40"/>
        <v>4.939162171734238</v>
      </c>
      <c r="F376" s="3">
        <f t="shared" si="41"/>
        <v>9.1064907866515426E-3</v>
      </c>
      <c r="G376">
        <f t="shared" ca="1" si="42"/>
        <v>0</v>
      </c>
      <c r="H376" s="9">
        <f t="shared" ca="1" si="43"/>
        <v>0</v>
      </c>
      <c r="I376" s="12">
        <f t="shared" si="44"/>
        <v>0</v>
      </c>
      <c r="J376" s="30">
        <f t="shared" ca="1" si="45"/>
        <v>-4.939162171734238</v>
      </c>
      <c r="K376" s="45">
        <f t="shared" ca="1" si="46"/>
        <v>-4.3677219463978307</v>
      </c>
      <c r="L376" s="35">
        <f t="shared" si="47"/>
        <v>-1050.6569532151975</v>
      </c>
      <c r="P376" s="9"/>
      <c r="Q376" s="26"/>
    </row>
    <row r="377" spans="1:17" x14ac:dyDescent="0.3">
      <c r="A377">
        <v>424</v>
      </c>
      <c r="B377" s="3">
        <v>3.3462930271354443</v>
      </c>
      <c r="C377" s="2">
        <v>59.526186635962851</v>
      </c>
      <c r="D377" s="1">
        <v>0.85829262055055877</v>
      </c>
      <c r="E377" s="9">
        <f t="shared" si="40"/>
        <v>14.881546658990713</v>
      </c>
      <c r="F377" s="3">
        <f t="shared" si="41"/>
        <v>1.7165852411011175E-2</v>
      </c>
      <c r="G377">
        <f t="shared" ca="1" si="42"/>
        <v>0</v>
      </c>
      <c r="H377" s="9">
        <f t="shared" ca="1" si="43"/>
        <v>0</v>
      </c>
      <c r="I377" s="12">
        <f t="shared" si="44"/>
        <v>0</v>
      </c>
      <c r="J377" s="30">
        <f t="shared" ca="1" si="45"/>
        <v>-14.881546658990713</v>
      </c>
      <c r="K377" s="45">
        <f t="shared" ca="1" si="46"/>
        <v>-4.447173794498771</v>
      </c>
      <c r="L377" s="35">
        <f t="shared" si="47"/>
        <v>-1054.003246242333</v>
      </c>
      <c r="P377" s="9"/>
      <c r="Q377" s="26"/>
    </row>
    <row r="378" spans="1:17" x14ac:dyDescent="0.3">
      <c r="A378">
        <v>581</v>
      </c>
      <c r="B378" s="3">
        <v>1.4930828690322018</v>
      </c>
      <c r="C378" s="2">
        <v>26.990231455715875</v>
      </c>
      <c r="D378" s="1">
        <v>1.8120691029191798</v>
      </c>
      <c r="E378" s="9">
        <f t="shared" si="40"/>
        <v>6.7475578639289688</v>
      </c>
      <c r="F378" s="3">
        <f t="shared" si="41"/>
        <v>3.6241382058383599E-2</v>
      </c>
      <c r="G378">
        <f t="shared" ca="1" si="42"/>
        <v>2</v>
      </c>
      <c r="H378" s="9">
        <f t="shared" ca="1" si="43"/>
        <v>50</v>
      </c>
      <c r="I378" s="12">
        <f t="shared" si="44"/>
        <v>0</v>
      </c>
      <c r="J378" s="30">
        <f t="shared" ca="1" si="45"/>
        <v>43.252442136071032</v>
      </c>
      <c r="K378" s="45">
        <f t="shared" ca="1" si="46"/>
        <v>28.9685475824304</v>
      </c>
      <c r="L378" s="35">
        <f t="shared" si="47"/>
        <v>-1055.4963291113652</v>
      </c>
      <c r="P378" s="9"/>
      <c r="Q378" s="26"/>
    </row>
    <row r="379" spans="1:17" x14ac:dyDescent="0.3">
      <c r="A379">
        <v>986</v>
      </c>
      <c r="B379" s="3">
        <v>2.4115912824182164</v>
      </c>
      <c r="C379" s="2">
        <v>50.393289252039395</v>
      </c>
      <c r="D379" s="1">
        <v>1.7902181220919644</v>
      </c>
      <c r="E379" s="9">
        <f t="shared" si="40"/>
        <v>12.598322313009849</v>
      </c>
      <c r="F379" s="3">
        <f t="shared" si="41"/>
        <v>3.5804362441839287E-2</v>
      </c>
      <c r="G379">
        <f t="shared" ca="1" si="42"/>
        <v>2</v>
      </c>
      <c r="H379" s="9">
        <f t="shared" ca="1" si="43"/>
        <v>50</v>
      </c>
      <c r="I379" s="12">
        <f t="shared" si="44"/>
        <v>0</v>
      </c>
      <c r="J379" s="30">
        <f t="shared" ca="1" si="45"/>
        <v>37.401677686990155</v>
      </c>
      <c r="K379" s="45">
        <f t="shared" ca="1" si="46"/>
        <v>15.509127918842751</v>
      </c>
      <c r="L379" s="35">
        <f t="shared" si="47"/>
        <v>-1057.9079203937833</v>
      </c>
      <c r="P379" s="9"/>
      <c r="Q379" s="26"/>
    </row>
    <row r="380" spans="1:17" x14ac:dyDescent="0.3">
      <c r="A380">
        <v>249</v>
      </c>
      <c r="B380" s="3">
        <v>4.4567244466016103</v>
      </c>
      <c r="C380" s="2">
        <v>94.180393988887261</v>
      </c>
      <c r="D380" s="1">
        <v>2.478087688652729</v>
      </c>
      <c r="E380" s="9">
        <f t="shared" si="40"/>
        <v>23.545098497221815</v>
      </c>
      <c r="F380" s="3">
        <f t="shared" si="41"/>
        <v>4.9561753773054579E-2</v>
      </c>
      <c r="G380">
        <f t="shared" ca="1" si="42"/>
        <v>2</v>
      </c>
      <c r="H380" s="9">
        <f t="shared" ca="1" si="43"/>
        <v>50</v>
      </c>
      <c r="I380" s="12">
        <f t="shared" si="44"/>
        <v>0</v>
      </c>
      <c r="J380" s="30">
        <f t="shared" ca="1" si="45"/>
        <v>26.454901502778185</v>
      </c>
      <c r="K380" s="45">
        <f t="shared" ca="1" si="46"/>
        <v>5.9359518004194456</v>
      </c>
      <c r="L380" s="35">
        <f t="shared" si="47"/>
        <v>-1062.3646448403849</v>
      </c>
      <c r="P380" s="9"/>
      <c r="Q380" s="26"/>
    </row>
    <row r="381" spans="1:17" x14ac:dyDescent="0.3">
      <c r="A381">
        <v>359</v>
      </c>
      <c r="B381" s="3">
        <v>1.7982803515712631</v>
      </c>
      <c r="C381" s="2">
        <v>39.244018468079979</v>
      </c>
      <c r="D381" s="1">
        <v>0.91531957842064871</v>
      </c>
      <c r="E381" s="9">
        <f t="shared" si="40"/>
        <v>9.8110046170199947</v>
      </c>
      <c r="F381" s="3">
        <f t="shared" si="41"/>
        <v>1.8306391568412975E-2</v>
      </c>
      <c r="G381">
        <f t="shared" ca="1" si="42"/>
        <v>2</v>
      </c>
      <c r="H381" s="9">
        <f t="shared" ca="1" si="43"/>
        <v>50</v>
      </c>
      <c r="I381" s="12">
        <f t="shared" si="44"/>
        <v>0</v>
      </c>
      <c r="J381" s="30">
        <f t="shared" ca="1" si="45"/>
        <v>40.188995382980004</v>
      </c>
      <c r="K381" s="45">
        <f t="shared" ca="1" si="46"/>
        <v>22.348570592935925</v>
      </c>
      <c r="L381" s="35">
        <f t="shared" si="47"/>
        <v>-1064.1629251919562</v>
      </c>
      <c r="P381" s="9"/>
      <c r="Q381" s="26"/>
    </row>
    <row r="382" spans="1:17" x14ac:dyDescent="0.3">
      <c r="A382">
        <v>689</v>
      </c>
      <c r="B382" s="3">
        <v>2.7161772713823771</v>
      </c>
      <c r="C382" s="2">
        <v>64.22142235538017</v>
      </c>
      <c r="D382" s="1">
        <v>0.88413471951982647</v>
      </c>
      <c r="E382" s="9">
        <f t="shared" si="40"/>
        <v>16.055355588845043</v>
      </c>
      <c r="F382" s="3">
        <f t="shared" si="41"/>
        <v>1.768269439039653E-2</v>
      </c>
      <c r="G382">
        <f t="shared" ca="1" si="42"/>
        <v>0</v>
      </c>
      <c r="H382" s="9">
        <f t="shared" ca="1" si="43"/>
        <v>0</v>
      </c>
      <c r="I382" s="12">
        <f t="shared" si="44"/>
        <v>0</v>
      </c>
      <c r="J382" s="30">
        <f t="shared" ca="1" si="45"/>
        <v>-16.055355588845043</v>
      </c>
      <c r="K382" s="45">
        <f t="shared" ca="1" si="46"/>
        <v>-5.9110116846953051</v>
      </c>
      <c r="L382" s="35">
        <f t="shared" si="47"/>
        <v>-1066.8791024633385</v>
      </c>
      <c r="P382" s="9"/>
      <c r="Q382" s="26"/>
    </row>
    <row r="383" spans="1:17" x14ac:dyDescent="0.3">
      <c r="A383">
        <v>125</v>
      </c>
      <c r="B383" s="3">
        <v>2.0777241984874695</v>
      </c>
      <c r="C383" s="2">
        <v>50.845682537540462</v>
      </c>
      <c r="D383" s="1">
        <v>0.89302838226872172</v>
      </c>
      <c r="E383" s="9">
        <f t="shared" si="40"/>
        <v>12.711420634385115</v>
      </c>
      <c r="F383" s="3">
        <f t="shared" si="41"/>
        <v>1.7860567645374435E-2</v>
      </c>
      <c r="G383">
        <f t="shared" ca="1" si="42"/>
        <v>0</v>
      </c>
      <c r="H383" s="9">
        <f t="shared" ca="1" si="43"/>
        <v>0</v>
      </c>
      <c r="I383" s="12">
        <f t="shared" si="44"/>
        <v>0</v>
      </c>
      <c r="J383" s="30">
        <f t="shared" ca="1" si="45"/>
        <v>-12.711420634385115</v>
      </c>
      <c r="K383" s="45">
        <f t="shared" ca="1" si="46"/>
        <v>-6.1179537898430922</v>
      </c>
      <c r="L383" s="35">
        <f t="shared" si="47"/>
        <v>-1068.956826661826</v>
      </c>
      <c r="P383" s="9"/>
      <c r="Q383" s="26"/>
    </row>
    <row r="384" spans="1:17" x14ac:dyDescent="0.3">
      <c r="A384">
        <v>723</v>
      </c>
      <c r="B384" s="3">
        <v>3.2634114782301382</v>
      </c>
      <c r="C384" s="2">
        <v>82.425268446051433</v>
      </c>
      <c r="D384" s="1">
        <v>0.53737840539109127</v>
      </c>
      <c r="E384" s="9">
        <f t="shared" si="40"/>
        <v>20.606317111512858</v>
      </c>
      <c r="F384" s="3">
        <f t="shared" si="41"/>
        <v>1.0747568107821825E-2</v>
      </c>
      <c r="G384">
        <f t="shared" ca="1" si="42"/>
        <v>3</v>
      </c>
      <c r="H384" s="9">
        <f t="shared" ca="1" si="43"/>
        <v>75</v>
      </c>
      <c r="I384" s="12">
        <f t="shared" si="44"/>
        <v>0</v>
      </c>
      <c r="J384" s="30">
        <f t="shared" ca="1" si="45"/>
        <v>54.393682888487142</v>
      </c>
      <c r="K384" s="45">
        <f t="shared" ca="1" si="46"/>
        <v>16.667736585270188</v>
      </c>
      <c r="L384" s="35">
        <f t="shared" si="47"/>
        <v>-1072.2202381400562</v>
      </c>
      <c r="P384" s="9"/>
      <c r="Q384" s="26"/>
    </row>
    <row r="385" spans="1:17" x14ac:dyDescent="0.3">
      <c r="A385">
        <v>804</v>
      </c>
      <c r="B385" s="3">
        <v>1.3612456493786462</v>
      </c>
      <c r="C385" s="2">
        <v>35.171270843974213</v>
      </c>
      <c r="D385" s="1">
        <v>1.4550456501057536</v>
      </c>
      <c r="E385" s="9">
        <f t="shared" si="40"/>
        <v>8.7928177109935532</v>
      </c>
      <c r="F385" s="3">
        <f t="shared" si="41"/>
        <v>2.9100913002115071E-2</v>
      </c>
      <c r="G385">
        <f t="shared" ca="1" si="42"/>
        <v>1</v>
      </c>
      <c r="H385" s="9">
        <f t="shared" ca="1" si="43"/>
        <v>25</v>
      </c>
      <c r="I385" s="12">
        <f t="shared" si="44"/>
        <v>0</v>
      </c>
      <c r="J385" s="30">
        <f t="shared" ca="1" si="45"/>
        <v>16.207182289006447</v>
      </c>
      <c r="K385" s="45">
        <f t="shared" ca="1" si="46"/>
        <v>11.906140744254627</v>
      </c>
      <c r="L385" s="35">
        <f t="shared" si="47"/>
        <v>-1073.5814837894347</v>
      </c>
      <c r="P385" s="9"/>
      <c r="Q385" s="26"/>
    </row>
    <row r="386" spans="1:17" x14ac:dyDescent="0.3">
      <c r="A386">
        <v>941</v>
      </c>
      <c r="B386" s="3">
        <v>1.9354733747805986</v>
      </c>
      <c r="C386" s="2">
        <v>52.506593388524536</v>
      </c>
      <c r="D386" s="1">
        <v>0.70410084589658217</v>
      </c>
      <c r="E386" s="9">
        <f t="shared" ref="E386:E417" si="48">0.25*C386</f>
        <v>13.126648347131134</v>
      </c>
      <c r="F386" s="3">
        <f t="shared" ref="F386:F417" si="49">(1/50)*D386</f>
        <v>1.4082016917931643E-2</v>
      </c>
      <c r="G386">
        <f t="shared" ref="G386:G417" ca="1" si="50">_xlfn.BINOM.INV(50,F386,RAND())</f>
        <v>0</v>
      </c>
      <c r="H386" s="9">
        <f t="shared" ref="H386:H417" ca="1" si="51">G386*25</f>
        <v>0</v>
      </c>
      <c r="I386" s="12">
        <f t="shared" ref="I386:I417" si="52">IF(L386&gt;0,1,0)</f>
        <v>0</v>
      </c>
      <c r="J386" s="30">
        <f t="shared" ref="J386:J417" ca="1" si="53">H386-E386</f>
        <v>-13.126648347131134</v>
      </c>
      <c r="K386" s="45">
        <f t="shared" ref="K386:K417" ca="1" si="54">J386/B386</f>
        <v>-6.7821384257580632</v>
      </c>
      <c r="L386" s="35">
        <f t="shared" si="47"/>
        <v>-1075.5169571642152</v>
      </c>
      <c r="P386" s="9"/>
      <c r="Q386" s="26"/>
    </row>
    <row r="387" spans="1:17" x14ac:dyDescent="0.3">
      <c r="A387">
        <v>203</v>
      </c>
      <c r="B387" s="3">
        <v>2.7139433467080956</v>
      </c>
      <c r="C387" s="2">
        <v>75.231806135163538</v>
      </c>
      <c r="D387" s="1">
        <v>0.86074928419523</v>
      </c>
      <c r="E387" s="9">
        <f t="shared" si="48"/>
        <v>18.807951533790884</v>
      </c>
      <c r="F387" s="3">
        <f t="shared" si="49"/>
        <v>1.7214985683904602E-2</v>
      </c>
      <c r="G387">
        <f t="shared" ca="1" si="50"/>
        <v>1</v>
      </c>
      <c r="H387" s="9">
        <f t="shared" ca="1" si="51"/>
        <v>25</v>
      </c>
      <c r="I387" s="12">
        <f t="shared" si="52"/>
        <v>0</v>
      </c>
      <c r="J387" s="30">
        <f t="shared" ca="1" si="53"/>
        <v>6.1920484662091155</v>
      </c>
      <c r="K387" s="45">
        <f t="shared" ca="1" si="54"/>
        <v>2.2815688005130328</v>
      </c>
      <c r="L387" s="35">
        <f t="shared" si="47"/>
        <v>-1078.2309005109232</v>
      </c>
      <c r="P387" s="9"/>
      <c r="Q387" s="26"/>
    </row>
    <row r="388" spans="1:17" x14ac:dyDescent="0.3">
      <c r="A388">
        <v>497</v>
      </c>
      <c r="B388" s="3">
        <v>3.4258996731896465</v>
      </c>
      <c r="C388" s="2">
        <v>96.180889629371464</v>
      </c>
      <c r="D388" s="1">
        <v>2.4505110613265035</v>
      </c>
      <c r="E388" s="9">
        <f t="shared" si="48"/>
        <v>24.045222407342866</v>
      </c>
      <c r="F388" s="3">
        <f t="shared" si="49"/>
        <v>4.9010221226530072E-2</v>
      </c>
      <c r="G388">
        <f t="shared" ca="1" si="50"/>
        <v>4</v>
      </c>
      <c r="H388" s="9">
        <f t="shared" ca="1" si="51"/>
        <v>100</v>
      </c>
      <c r="I388" s="12">
        <f t="shared" si="52"/>
        <v>0</v>
      </c>
      <c r="J388" s="30">
        <f t="shared" ca="1" si="53"/>
        <v>75.954777592657138</v>
      </c>
      <c r="K388" s="45">
        <f t="shared" ca="1" si="54"/>
        <v>22.170753623365822</v>
      </c>
      <c r="L388" s="35">
        <f t="shared" ref="L388:L417" si="55">L387-B388</f>
        <v>-1081.6568001841129</v>
      </c>
      <c r="P388" s="9"/>
      <c r="Q388" s="26"/>
    </row>
    <row r="389" spans="1:17" x14ac:dyDescent="0.3">
      <c r="A389">
        <v>110</v>
      </c>
      <c r="B389" s="3">
        <v>3.007300103705405</v>
      </c>
      <c r="C389" s="2">
        <v>86.642946188074916</v>
      </c>
      <c r="D389" s="1">
        <v>2.4565648399195563</v>
      </c>
      <c r="E389" s="9">
        <f t="shared" si="48"/>
        <v>21.660736547018729</v>
      </c>
      <c r="F389" s="3">
        <f t="shared" si="49"/>
        <v>4.9131296798391129E-2</v>
      </c>
      <c r="G389">
        <f t="shared" ca="1" si="50"/>
        <v>0</v>
      </c>
      <c r="H389" s="9">
        <f t="shared" ca="1" si="51"/>
        <v>0</v>
      </c>
      <c r="I389" s="12">
        <f t="shared" si="52"/>
        <v>0</v>
      </c>
      <c r="J389" s="30">
        <f t="shared" ca="1" si="53"/>
        <v>-21.660736547018729</v>
      </c>
      <c r="K389" s="45">
        <f t="shared" ca="1" si="54"/>
        <v>-7.202718651301125</v>
      </c>
      <c r="L389" s="35">
        <f t="shared" si="55"/>
        <v>-1084.6641002878182</v>
      </c>
      <c r="P389" s="9"/>
      <c r="Q389" s="26"/>
    </row>
    <row r="390" spans="1:17" x14ac:dyDescent="0.3">
      <c r="A390">
        <v>82</v>
      </c>
      <c r="B390" s="3">
        <v>0.73039598797183691</v>
      </c>
      <c r="C390" s="2">
        <v>21.885409442092516</v>
      </c>
      <c r="D390" s="1">
        <v>0.64616091802461817</v>
      </c>
      <c r="E390" s="9">
        <f t="shared" si="48"/>
        <v>5.4713523605231291</v>
      </c>
      <c r="F390" s="3">
        <f t="shared" si="49"/>
        <v>1.2923218360492364E-2</v>
      </c>
      <c r="G390">
        <f t="shared" ca="1" si="50"/>
        <v>2</v>
      </c>
      <c r="H390" s="9">
        <f t="shared" ca="1" si="51"/>
        <v>50</v>
      </c>
      <c r="I390" s="12">
        <f t="shared" si="52"/>
        <v>0</v>
      </c>
      <c r="J390" s="30">
        <f t="shared" ca="1" si="53"/>
        <v>44.528647639476873</v>
      </c>
      <c r="K390" s="45">
        <f t="shared" ca="1" si="54"/>
        <v>60.965076989434174</v>
      </c>
      <c r="L390" s="35">
        <f t="shared" si="55"/>
        <v>-1085.3944962757901</v>
      </c>
      <c r="P390" s="9"/>
      <c r="Q390" s="26"/>
    </row>
    <row r="391" spans="1:17" x14ac:dyDescent="0.3">
      <c r="A391">
        <v>478</v>
      </c>
      <c r="B391" s="3">
        <v>2.4935478014950609</v>
      </c>
      <c r="C391" s="2">
        <v>75.927294158058331</v>
      </c>
      <c r="D391" s="1">
        <v>0.56322531425531597</v>
      </c>
      <c r="E391" s="9">
        <f t="shared" si="48"/>
        <v>18.981823539514583</v>
      </c>
      <c r="F391" s="3">
        <f t="shared" si="49"/>
        <v>1.1264506285106319E-2</v>
      </c>
      <c r="G391">
        <f t="shared" ca="1" si="50"/>
        <v>1</v>
      </c>
      <c r="H391" s="9">
        <f t="shared" ca="1" si="51"/>
        <v>25</v>
      </c>
      <c r="I391" s="12">
        <f t="shared" si="52"/>
        <v>0</v>
      </c>
      <c r="J391" s="30">
        <f t="shared" ca="1" si="53"/>
        <v>6.0181764604854173</v>
      </c>
      <c r="K391" s="45">
        <f t="shared" ca="1" si="54"/>
        <v>2.4134995354318405</v>
      </c>
      <c r="L391" s="35">
        <f t="shared" si="55"/>
        <v>-1087.888044077285</v>
      </c>
      <c r="P391" s="9"/>
      <c r="Q391" s="26"/>
    </row>
    <row r="392" spans="1:17" x14ac:dyDescent="0.3">
      <c r="A392">
        <v>945</v>
      </c>
      <c r="B392" s="3">
        <v>1.8525448468969952</v>
      </c>
      <c r="C392" s="2">
        <v>57.428761391341823</v>
      </c>
      <c r="D392" s="1">
        <v>1.9315248026607479</v>
      </c>
      <c r="E392" s="9">
        <f t="shared" si="48"/>
        <v>14.357190347835456</v>
      </c>
      <c r="F392" s="3">
        <f t="shared" si="49"/>
        <v>3.863049605321496E-2</v>
      </c>
      <c r="G392">
        <f t="shared" ca="1" si="50"/>
        <v>4</v>
      </c>
      <c r="H392" s="9">
        <f t="shared" ca="1" si="51"/>
        <v>100</v>
      </c>
      <c r="I392" s="12">
        <f t="shared" si="52"/>
        <v>0</v>
      </c>
      <c r="J392" s="30">
        <f t="shared" ca="1" si="53"/>
        <v>85.642809652164544</v>
      </c>
      <c r="K392" s="45">
        <f t="shared" ca="1" si="54"/>
        <v>46.229817213664703</v>
      </c>
      <c r="L392" s="35">
        <f t="shared" si="55"/>
        <v>-1089.740588924182</v>
      </c>
      <c r="P392" s="9"/>
      <c r="Q392" s="26"/>
    </row>
    <row r="393" spans="1:17" x14ac:dyDescent="0.3">
      <c r="A393">
        <v>284</v>
      </c>
      <c r="B393" s="3">
        <v>2.1396947851162542</v>
      </c>
      <c r="C393" s="2">
        <v>67.170079721408385</v>
      </c>
      <c r="D393" s="1">
        <v>2.2969611523572326</v>
      </c>
      <c r="E393" s="9">
        <f t="shared" si="48"/>
        <v>16.792519930352096</v>
      </c>
      <c r="F393" s="3">
        <f t="shared" si="49"/>
        <v>4.5939223047144651E-2</v>
      </c>
      <c r="G393">
        <f t="shared" ca="1" si="50"/>
        <v>5</v>
      </c>
      <c r="H393" s="9">
        <f t="shared" ca="1" si="51"/>
        <v>125</v>
      </c>
      <c r="I393" s="12">
        <f t="shared" si="52"/>
        <v>0</v>
      </c>
      <c r="J393" s="30">
        <f t="shared" ca="1" si="53"/>
        <v>108.2074800696479</v>
      </c>
      <c r="K393" s="45">
        <f t="shared" ca="1" si="54"/>
        <v>50.571455715245271</v>
      </c>
      <c r="L393" s="35">
        <f t="shared" si="55"/>
        <v>-1091.8802837092983</v>
      </c>
      <c r="P393" s="9"/>
      <c r="Q393" s="26"/>
    </row>
    <row r="394" spans="1:17" x14ac:dyDescent="0.3">
      <c r="A394">
        <v>1074</v>
      </c>
      <c r="B394" s="3">
        <v>1.9862065651892213</v>
      </c>
      <c r="C394" s="2">
        <v>63.634642964976607</v>
      </c>
      <c r="D394" s="1">
        <v>1.1383779836233618</v>
      </c>
      <c r="E394" s="9">
        <f t="shared" si="48"/>
        <v>15.908660741244152</v>
      </c>
      <c r="F394" s="3">
        <f t="shared" si="49"/>
        <v>2.2767559672467238E-2</v>
      </c>
      <c r="G394">
        <f t="shared" ca="1" si="50"/>
        <v>2</v>
      </c>
      <c r="H394" s="9">
        <f t="shared" ca="1" si="51"/>
        <v>50</v>
      </c>
      <c r="I394" s="12">
        <f t="shared" si="52"/>
        <v>0</v>
      </c>
      <c r="J394" s="30">
        <f t="shared" ca="1" si="53"/>
        <v>34.091339258755852</v>
      </c>
      <c r="K394" s="45">
        <f t="shared" ca="1" si="54"/>
        <v>17.164045198646321</v>
      </c>
      <c r="L394" s="35">
        <f t="shared" si="55"/>
        <v>-1093.8664902744874</v>
      </c>
      <c r="P394" s="9"/>
      <c r="Q394" s="26"/>
    </row>
    <row r="395" spans="1:17" x14ac:dyDescent="0.3">
      <c r="A395">
        <v>820</v>
      </c>
      <c r="B395" s="3">
        <v>2.8667342608148338</v>
      </c>
      <c r="C395" s="2">
        <v>93.1599478171469</v>
      </c>
      <c r="D395" s="1">
        <v>0.40648714014498344</v>
      </c>
      <c r="E395" s="9">
        <f t="shared" si="48"/>
        <v>23.289986954286725</v>
      </c>
      <c r="F395" s="3">
        <f t="shared" si="49"/>
        <v>8.1297428028996692E-3</v>
      </c>
      <c r="G395">
        <f t="shared" ca="1" si="50"/>
        <v>0</v>
      </c>
      <c r="H395" s="9">
        <f t="shared" ca="1" si="51"/>
        <v>0</v>
      </c>
      <c r="I395" s="12">
        <f t="shared" si="52"/>
        <v>0</v>
      </c>
      <c r="J395" s="30">
        <f t="shared" ca="1" si="53"/>
        <v>-23.289986954286725</v>
      </c>
      <c r="K395" s="45">
        <f t="shared" ca="1" si="54"/>
        <v>-8.1242224899027899</v>
      </c>
      <c r="L395" s="35">
        <f t="shared" si="55"/>
        <v>-1096.7332245353023</v>
      </c>
      <c r="P395" s="9"/>
      <c r="Q395" s="26"/>
    </row>
    <row r="396" spans="1:17" x14ac:dyDescent="0.3">
      <c r="A396">
        <v>458</v>
      </c>
      <c r="B396" s="3">
        <v>2.2156445007231671</v>
      </c>
      <c r="C396" s="2">
        <v>79.041446545527791</v>
      </c>
      <c r="D396" s="1">
        <v>0.60677025062705414</v>
      </c>
      <c r="E396" s="9">
        <f t="shared" si="48"/>
        <v>19.760361636381948</v>
      </c>
      <c r="F396" s="3">
        <f t="shared" si="49"/>
        <v>1.2135405012541083E-2</v>
      </c>
      <c r="G396">
        <f t="shared" ca="1" si="50"/>
        <v>0</v>
      </c>
      <c r="H396" s="9">
        <f t="shared" ca="1" si="51"/>
        <v>0</v>
      </c>
      <c r="I396" s="12">
        <f t="shared" si="52"/>
        <v>0</v>
      </c>
      <c r="J396" s="30">
        <f t="shared" ca="1" si="53"/>
        <v>-19.760361636381948</v>
      </c>
      <c r="K396" s="45">
        <f t="shared" ca="1" si="54"/>
        <v>-8.9185614524046333</v>
      </c>
      <c r="L396" s="35">
        <f t="shared" si="55"/>
        <v>-1098.9488690360254</v>
      </c>
      <c r="P396" s="9"/>
      <c r="Q396" s="26"/>
    </row>
    <row r="397" spans="1:17" x14ac:dyDescent="0.3">
      <c r="A397">
        <v>275</v>
      </c>
      <c r="B397" s="3">
        <v>1.1922314998958539</v>
      </c>
      <c r="C397" s="2">
        <v>42.638964580565528</v>
      </c>
      <c r="D397" s="1">
        <v>1.0719389308534297</v>
      </c>
      <c r="E397" s="9">
        <f t="shared" si="48"/>
        <v>10.659741145141382</v>
      </c>
      <c r="F397" s="3">
        <f t="shared" si="49"/>
        <v>2.1438778617068596E-2</v>
      </c>
      <c r="G397">
        <f t="shared" ca="1" si="50"/>
        <v>3</v>
      </c>
      <c r="H397" s="9">
        <f t="shared" ca="1" si="51"/>
        <v>75</v>
      </c>
      <c r="I397" s="12">
        <f t="shared" si="52"/>
        <v>0</v>
      </c>
      <c r="J397" s="30">
        <f t="shared" ca="1" si="53"/>
        <v>64.340258854858618</v>
      </c>
      <c r="K397" s="45">
        <f t="shared" ca="1" si="54"/>
        <v>53.96624637117791</v>
      </c>
      <c r="L397" s="35">
        <f t="shared" si="55"/>
        <v>-1100.1411005359212</v>
      </c>
      <c r="P397" s="9"/>
      <c r="Q397" s="26"/>
    </row>
    <row r="398" spans="1:17" x14ac:dyDescent="0.3">
      <c r="A398">
        <v>344</v>
      </c>
      <c r="B398" s="3">
        <v>1.4409555797462914</v>
      </c>
      <c r="C398" s="2">
        <v>51.826452812467558</v>
      </c>
      <c r="D398" s="1">
        <v>0.656559191745685</v>
      </c>
      <c r="E398" s="9">
        <f t="shared" si="48"/>
        <v>12.956613203116889</v>
      </c>
      <c r="F398" s="3">
        <f t="shared" si="49"/>
        <v>1.31311838349137E-2</v>
      </c>
      <c r="G398">
        <f t="shared" ca="1" si="50"/>
        <v>0</v>
      </c>
      <c r="H398" s="9">
        <f t="shared" ca="1" si="51"/>
        <v>0</v>
      </c>
      <c r="I398" s="12">
        <f t="shared" si="52"/>
        <v>0</v>
      </c>
      <c r="J398" s="30">
        <f t="shared" ca="1" si="53"/>
        <v>-12.956613203116889</v>
      </c>
      <c r="K398" s="45">
        <f t="shared" ca="1" si="54"/>
        <v>-8.9916812046337729</v>
      </c>
      <c r="L398" s="35">
        <f t="shared" si="55"/>
        <v>-1101.5820561156675</v>
      </c>
      <c r="P398" s="9"/>
      <c r="Q398" s="26"/>
    </row>
    <row r="399" spans="1:17" x14ac:dyDescent="0.3">
      <c r="A399">
        <v>805</v>
      </c>
      <c r="B399" s="3">
        <v>1.7599411510963692</v>
      </c>
      <c r="C399" s="2">
        <v>63.93822553659431</v>
      </c>
      <c r="D399" s="1">
        <v>1.1781907304624772</v>
      </c>
      <c r="E399" s="9">
        <f t="shared" si="48"/>
        <v>15.984556384148577</v>
      </c>
      <c r="F399" s="3">
        <f t="shared" si="49"/>
        <v>2.3563814609249546E-2</v>
      </c>
      <c r="G399">
        <f t="shared" ca="1" si="50"/>
        <v>1</v>
      </c>
      <c r="H399" s="9">
        <f t="shared" ca="1" si="51"/>
        <v>25</v>
      </c>
      <c r="I399" s="12">
        <f t="shared" si="52"/>
        <v>0</v>
      </c>
      <c r="J399" s="30">
        <f t="shared" ca="1" si="53"/>
        <v>9.0154436158514226</v>
      </c>
      <c r="K399" s="45">
        <f t="shared" ca="1" si="54"/>
        <v>5.122582428529034</v>
      </c>
      <c r="L399" s="35">
        <f t="shared" si="55"/>
        <v>-1103.3419972667639</v>
      </c>
      <c r="P399" s="9"/>
      <c r="Q399" s="26"/>
    </row>
    <row r="400" spans="1:17" x14ac:dyDescent="0.3">
      <c r="A400">
        <v>220</v>
      </c>
      <c r="B400" s="3">
        <v>2.2304074359527681</v>
      </c>
      <c r="C400" s="2">
        <v>84.152262926483161</v>
      </c>
      <c r="D400" s="1">
        <v>0.60695155850954063</v>
      </c>
      <c r="E400" s="9">
        <f t="shared" si="48"/>
        <v>21.03806573162079</v>
      </c>
      <c r="F400" s="3">
        <f t="shared" si="49"/>
        <v>1.2139031170190813E-2</v>
      </c>
      <c r="G400">
        <f t="shared" ca="1" si="50"/>
        <v>1</v>
      </c>
      <c r="H400" s="9">
        <f t="shared" ca="1" si="51"/>
        <v>25</v>
      </c>
      <c r="I400" s="12">
        <f t="shared" si="52"/>
        <v>0</v>
      </c>
      <c r="J400" s="30">
        <f t="shared" ca="1" si="53"/>
        <v>3.9619342683792098</v>
      </c>
      <c r="K400" s="45">
        <f t="shared" ca="1" si="54"/>
        <v>1.7763275913249372</v>
      </c>
      <c r="L400" s="35">
        <f t="shared" si="55"/>
        <v>-1105.5724047027165</v>
      </c>
      <c r="P400" s="9"/>
      <c r="Q400" s="26"/>
    </row>
    <row r="401" spans="1:17" x14ac:dyDescent="0.3">
      <c r="A401">
        <v>1039</v>
      </c>
      <c r="B401" s="3">
        <v>1.0754053635802263</v>
      </c>
      <c r="C401" s="2">
        <v>43.87476067214785</v>
      </c>
      <c r="D401" s="1">
        <v>1.4884236200128798</v>
      </c>
      <c r="E401" s="9">
        <f t="shared" si="48"/>
        <v>10.968690168036963</v>
      </c>
      <c r="F401" s="3">
        <f t="shared" si="49"/>
        <v>2.9768472400257595E-2</v>
      </c>
      <c r="G401">
        <f t="shared" ca="1" si="50"/>
        <v>2</v>
      </c>
      <c r="H401" s="9">
        <f t="shared" ca="1" si="51"/>
        <v>50</v>
      </c>
      <c r="I401" s="12">
        <f t="shared" si="52"/>
        <v>0</v>
      </c>
      <c r="J401" s="30">
        <f t="shared" ca="1" si="53"/>
        <v>39.031309831963036</v>
      </c>
      <c r="K401" s="45">
        <f t="shared" ca="1" si="54"/>
        <v>36.294509171890752</v>
      </c>
      <c r="L401" s="35">
        <f t="shared" si="55"/>
        <v>-1106.6478100662969</v>
      </c>
      <c r="P401" s="9"/>
      <c r="Q401" s="26"/>
    </row>
    <row r="402" spans="1:17" x14ac:dyDescent="0.3">
      <c r="A402">
        <v>696</v>
      </c>
      <c r="B402" s="3">
        <v>1.1412266513580283</v>
      </c>
      <c r="C402" s="2">
        <v>52.487311847826554</v>
      </c>
      <c r="D402" s="1">
        <v>1.2724100865354881</v>
      </c>
      <c r="E402" s="9">
        <f t="shared" si="48"/>
        <v>13.121827961956638</v>
      </c>
      <c r="F402" s="3">
        <f t="shared" si="49"/>
        <v>2.5448201730709764E-2</v>
      </c>
      <c r="G402">
        <f t="shared" ca="1" si="50"/>
        <v>2</v>
      </c>
      <c r="H402" s="9">
        <f t="shared" ca="1" si="51"/>
        <v>50</v>
      </c>
      <c r="I402" s="12">
        <f t="shared" si="52"/>
        <v>0</v>
      </c>
      <c r="J402" s="30">
        <f t="shared" ca="1" si="53"/>
        <v>36.87817203804336</v>
      </c>
      <c r="K402" s="45">
        <f t="shared" ca="1" si="54"/>
        <v>32.314502990408918</v>
      </c>
      <c r="L402" s="35">
        <f t="shared" si="55"/>
        <v>-1107.7890367176549</v>
      </c>
      <c r="P402" s="9"/>
      <c r="Q402" s="26"/>
    </row>
    <row r="403" spans="1:17" x14ac:dyDescent="0.3">
      <c r="A403">
        <v>55</v>
      </c>
      <c r="B403" s="3">
        <v>2.0467901820589676</v>
      </c>
      <c r="C403" s="2">
        <v>94.353427088022542</v>
      </c>
      <c r="D403" s="1">
        <v>3.2203596435638047</v>
      </c>
      <c r="E403" s="9">
        <f t="shared" si="48"/>
        <v>23.588356772005636</v>
      </c>
      <c r="F403" s="3">
        <f t="shared" si="49"/>
        <v>6.4407192871276095E-2</v>
      </c>
      <c r="G403">
        <f t="shared" ca="1" si="50"/>
        <v>1</v>
      </c>
      <c r="H403" s="9">
        <f t="shared" ca="1" si="51"/>
        <v>25</v>
      </c>
      <c r="I403" s="12">
        <f t="shared" si="52"/>
        <v>0</v>
      </c>
      <c r="J403" s="30">
        <f t="shared" ca="1" si="53"/>
        <v>1.4116432279943645</v>
      </c>
      <c r="K403" s="45">
        <f t="shared" ca="1" si="54"/>
        <v>0.68968633930729661</v>
      </c>
      <c r="L403" s="35">
        <f t="shared" si="55"/>
        <v>-1109.8358268997138</v>
      </c>
      <c r="P403" s="9"/>
      <c r="Q403" s="26"/>
    </row>
    <row r="404" spans="1:17" x14ac:dyDescent="0.3">
      <c r="A404">
        <v>311</v>
      </c>
      <c r="B404" s="3">
        <v>0.94644883652760803</v>
      </c>
      <c r="C404" s="2">
        <v>53.74667689256669</v>
      </c>
      <c r="D404" s="1">
        <v>0.70758033550660149</v>
      </c>
      <c r="E404" s="9">
        <f t="shared" si="48"/>
        <v>13.436669223141672</v>
      </c>
      <c r="F404" s="3">
        <f t="shared" si="49"/>
        <v>1.415160671013203E-2</v>
      </c>
      <c r="G404">
        <f t="shared" ca="1" si="50"/>
        <v>0</v>
      </c>
      <c r="H404" s="9">
        <f t="shared" ca="1" si="51"/>
        <v>0</v>
      </c>
      <c r="I404" s="12">
        <f t="shared" si="52"/>
        <v>0</v>
      </c>
      <c r="J404" s="30">
        <f t="shared" ca="1" si="53"/>
        <v>-13.436669223141672</v>
      </c>
      <c r="K404" s="45">
        <f t="shared" ca="1" si="54"/>
        <v>-14.196931418331056</v>
      </c>
      <c r="L404" s="35">
        <f t="shared" si="55"/>
        <v>-1110.7822757362414</v>
      </c>
      <c r="P404" s="9"/>
      <c r="Q404" s="26"/>
    </row>
    <row r="405" spans="1:17" x14ac:dyDescent="0.3">
      <c r="A405">
        <v>85</v>
      </c>
      <c r="B405" s="3">
        <v>1.5306598931066917</v>
      </c>
      <c r="C405" s="2">
        <v>91.402840219275134</v>
      </c>
      <c r="D405" s="1">
        <v>1.0088374140522212</v>
      </c>
      <c r="E405" s="9">
        <f t="shared" si="48"/>
        <v>22.850710054818784</v>
      </c>
      <c r="F405" s="3">
        <f t="shared" si="49"/>
        <v>2.0176748281044425E-2</v>
      </c>
      <c r="G405">
        <f t="shared" ca="1" si="50"/>
        <v>3</v>
      </c>
      <c r="H405" s="9">
        <f t="shared" ca="1" si="51"/>
        <v>75</v>
      </c>
      <c r="I405" s="12">
        <f t="shared" si="52"/>
        <v>0</v>
      </c>
      <c r="J405" s="30">
        <f t="shared" ca="1" si="53"/>
        <v>52.149289945181216</v>
      </c>
      <c r="K405" s="45">
        <f t="shared" ca="1" si="54"/>
        <v>34.069808832148091</v>
      </c>
      <c r="L405" s="35">
        <f t="shared" si="55"/>
        <v>-1112.3129356293482</v>
      </c>
      <c r="P405" s="9"/>
      <c r="Q405" s="26"/>
    </row>
    <row r="406" spans="1:17" x14ac:dyDescent="0.3">
      <c r="A406">
        <v>578</v>
      </c>
      <c r="B406" s="3">
        <v>1.1944592939429988</v>
      </c>
      <c r="C406" s="2">
        <v>77.414553789961857</v>
      </c>
      <c r="D406" s="1">
        <v>1.4610814442965943</v>
      </c>
      <c r="E406" s="9">
        <f t="shared" si="48"/>
        <v>19.353638447490464</v>
      </c>
      <c r="F406" s="3">
        <f t="shared" si="49"/>
        <v>2.9221628885931886E-2</v>
      </c>
      <c r="G406">
        <f t="shared" ca="1" si="50"/>
        <v>1</v>
      </c>
      <c r="H406" s="9">
        <f t="shared" ca="1" si="51"/>
        <v>25</v>
      </c>
      <c r="I406" s="12">
        <f t="shared" si="52"/>
        <v>0</v>
      </c>
      <c r="J406" s="30">
        <f t="shared" ca="1" si="53"/>
        <v>5.6463615525095356</v>
      </c>
      <c r="K406" s="45">
        <f t="shared" ca="1" si="54"/>
        <v>4.7271276477497004</v>
      </c>
      <c r="L406" s="35">
        <f t="shared" si="55"/>
        <v>-1113.5073949232913</v>
      </c>
      <c r="P406" s="9"/>
      <c r="Q406" s="26"/>
    </row>
    <row r="407" spans="1:17" x14ac:dyDescent="0.3">
      <c r="A407">
        <v>96</v>
      </c>
      <c r="B407" s="3">
        <v>1.393934377638294</v>
      </c>
      <c r="C407" s="2">
        <v>91.148653343778307</v>
      </c>
      <c r="D407" s="1">
        <v>0.57986306579295555</v>
      </c>
      <c r="E407" s="9">
        <f t="shared" si="48"/>
        <v>22.787163335944577</v>
      </c>
      <c r="F407" s="3">
        <f t="shared" si="49"/>
        <v>1.1597261315859111E-2</v>
      </c>
      <c r="G407">
        <f t="shared" ca="1" si="50"/>
        <v>0</v>
      </c>
      <c r="H407" s="9">
        <f t="shared" ca="1" si="51"/>
        <v>0</v>
      </c>
      <c r="I407" s="12">
        <f t="shared" si="52"/>
        <v>0</v>
      </c>
      <c r="J407" s="30">
        <f t="shared" ca="1" si="53"/>
        <v>-22.787163335944577</v>
      </c>
      <c r="K407" s="45">
        <f t="shared" ca="1" si="54"/>
        <v>-16.347371656442149</v>
      </c>
      <c r="L407" s="35">
        <f t="shared" si="55"/>
        <v>-1114.9013293009295</v>
      </c>
      <c r="P407" s="9"/>
      <c r="Q407" s="26"/>
    </row>
    <row r="408" spans="1:17" x14ac:dyDescent="0.3">
      <c r="A408">
        <v>207</v>
      </c>
      <c r="B408" s="3">
        <v>0.53226354816753751</v>
      </c>
      <c r="C408" s="2">
        <v>36.389595342580009</v>
      </c>
      <c r="D408" s="1">
        <v>0.55340951299649488</v>
      </c>
      <c r="E408" s="9">
        <f t="shared" si="48"/>
        <v>9.0973988356450022</v>
      </c>
      <c r="F408" s="3">
        <f t="shared" si="49"/>
        <v>1.1068190259929897E-2</v>
      </c>
      <c r="G408">
        <f t="shared" ca="1" si="50"/>
        <v>1</v>
      </c>
      <c r="H408" s="9">
        <f t="shared" ca="1" si="51"/>
        <v>25</v>
      </c>
      <c r="I408" s="12">
        <f t="shared" si="52"/>
        <v>0</v>
      </c>
      <c r="J408" s="30">
        <f t="shared" ca="1" si="53"/>
        <v>15.902601164354998</v>
      </c>
      <c r="K408" s="45">
        <f t="shared" ca="1" si="54"/>
        <v>29.877306494318539</v>
      </c>
      <c r="L408" s="35">
        <f t="shared" si="55"/>
        <v>-1115.4335928490971</v>
      </c>
      <c r="P408" s="9"/>
      <c r="Q408" s="26"/>
    </row>
    <row r="409" spans="1:17" x14ac:dyDescent="0.3">
      <c r="A409">
        <v>1098</v>
      </c>
      <c r="B409" s="3">
        <v>0.69534260741033416</v>
      </c>
      <c r="C409" s="2">
        <v>48.204808004424237</v>
      </c>
      <c r="D409" s="1">
        <v>0.31486619023461765</v>
      </c>
      <c r="E409" s="9">
        <f t="shared" si="48"/>
        <v>12.051202001106059</v>
      </c>
      <c r="F409" s="3">
        <f t="shared" si="49"/>
        <v>6.2973238046923532E-3</v>
      </c>
      <c r="G409">
        <f t="shared" ca="1" si="50"/>
        <v>1</v>
      </c>
      <c r="H409" s="9">
        <f t="shared" ca="1" si="51"/>
        <v>25</v>
      </c>
      <c r="I409" s="12">
        <f t="shared" si="52"/>
        <v>0</v>
      </c>
      <c r="J409" s="30">
        <f t="shared" ca="1" si="53"/>
        <v>12.948797998893941</v>
      </c>
      <c r="K409" s="45">
        <f t="shared" ca="1" si="54"/>
        <v>18.622184029710439</v>
      </c>
      <c r="L409" s="35">
        <f t="shared" si="55"/>
        <v>-1116.1289354565074</v>
      </c>
      <c r="P409" s="9"/>
      <c r="Q409" s="26"/>
    </row>
    <row r="410" spans="1:17" x14ac:dyDescent="0.3">
      <c r="A410">
        <v>418</v>
      </c>
      <c r="B410" s="3">
        <v>1.1510867564782989</v>
      </c>
      <c r="C410" s="2">
        <v>82.614360829755327</v>
      </c>
      <c r="D410" s="1">
        <v>0.98282399338864335</v>
      </c>
      <c r="E410" s="9">
        <f t="shared" si="48"/>
        <v>20.653590207438832</v>
      </c>
      <c r="F410" s="3">
        <f t="shared" si="49"/>
        <v>1.9656479867772868E-2</v>
      </c>
      <c r="G410">
        <f t="shared" ca="1" si="50"/>
        <v>1</v>
      </c>
      <c r="H410" s="9">
        <f t="shared" ca="1" si="51"/>
        <v>25</v>
      </c>
      <c r="I410" s="12">
        <f t="shared" si="52"/>
        <v>0</v>
      </c>
      <c r="J410" s="30">
        <f t="shared" ca="1" si="53"/>
        <v>4.3464097925611682</v>
      </c>
      <c r="K410" s="45">
        <f t="shared" ca="1" si="54"/>
        <v>3.7759185118755294</v>
      </c>
      <c r="L410" s="35">
        <f t="shared" si="55"/>
        <v>-1117.2800222129856</v>
      </c>
      <c r="P410" s="9"/>
      <c r="Q410" s="26"/>
    </row>
    <row r="411" spans="1:17" x14ac:dyDescent="0.3">
      <c r="A411">
        <v>127</v>
      </c>
      <c r="B411" s="3">
        <v>0.78425198697655851</v>
      </c>
      <c r="C411" s="2">
        <v>75.155495112271723</v>
      </c>
      <c r="D411" s="1">
        <v>1.1470770771953296</v>
      </c>
      <c r="E411" s="9">
        <f t="shared" si="48"/>
        <v>18.788873778067931</v>
      </c>
      <c r="F411" s="3">
        <f t="shared" si="49"/>
        <v>2.2941541543906593E-2</v>
      </c>
      <c r="G411">
        <f t="shared" ca="1" si="50"/>
        <v>1</v>
      </c>
      <c r="H411" s="9">
        <f t="shared" ca="1" si="51"/>
        <v>25</v>
      </c>
      <c r="I411" s="12">
        <f t="shared" si="52"/>
        <v>0</v>
      </c>
      <c r="J411" s="30">
        <f t="shared" ca="1" si="53"/>
        <v>6.2111262219320693</v>
      </c>
      <c r="K411" s="45">
        <f t="shared" ca="1" si="54"/>
        <v>7.9198093534670528</v>
      </c>
      <c r="L411" s="35">
        <f t="shared" si="55"/>
        <v>-1118.0642741999623</v>
      </c>
      <c r="P411" s="9"/>
      <c r="Q411" s="26"/>
    </row>
    <row r="412" spans="1:17" x14ac:dyDescent="0.3">
      <c r="A412">
        <v>258</v>
      </c>
      <c r="B412" s="3">
        <v>0.90698840741772369</v>
      </c>
      <c r="C412" s="2">
        <v>91.398755111301185</v>
      </c>
      <c r="D412" s="1">
        <v>0.67602594067115451</v>
      </c>
      <c r="E412" s="9">
        <f t="shared" si="48"/>
        <v>22.849688777825296</v>
      </c>
      <c r="F412" s="3">
        <f t="shared" si="49"/>
        <v>1.352051881342309E-2</v>
      </c>
      <c r="G412">
        <f t="shared" ca="1" si="50"/>
        <v>1</v>
      </c>
      <c r="H412" s="9">
        <f t="shared" ca="1" si="51"/>
        <v>25</v>
      </c>
      <c r="I412" s="12">
        <f t="shared" si="52"/>
        <v>0</v>
      </c>
      <c r="J412" s="30">
        <f t="shared" ca="1" si="53"/>
        <v>2.1503112221747038</v>
      </c>
      <c r="K412" s="45">
        <f t="shared" ca="1" si="54"/>
        <v>2.3708254753738589</v>
      </c>
      <c r="L412" s="35">
        <f t="shared" si="55"/>
        <v>-1118.9712626073799</v>
      </c>
      <c r="P412" s="9"/>
      <c r="Q412" s="26"/>
    </row>
    <row r="413" spans="1:17" x14ac:dyDescent="0.3">
      <c r="A413">
        <v>1018</v>
      </c>
      <c r="B413" s="3">
        <v>0.73687519353835773</v>
      </c>
      <c r="C413" s="2">
        <v>78.803168627292365</v>
      </c>
      <c r="D413" s="1">
        <v>1.0888787614430413</v>
      </c>
      <c r="E413" s="9">
        <f t="shared" si="48"/>
        <v>19.700792156823091</v>
      </c>
      <c r="F413" s="3">
        <f t="shared" si="49"/>
        <v>2.1777575228860827E-2</v>
      </c>
      <c r="G413">
        <f t="shared" ca="1" si="50"/>
        <v>0</v>
      </c>
      <c r="H413" s="9">
        <f t="shared" ca="1" si="51"/>
        <v>0</v>
      </c>
      <c r="I413" s="12">
        <f t="shared" si="52"/>
        <v>0</v>
      </c>
      <c r="J413" s="30">
        <f t="shared" ca="1" si="53"/>
        <v>-19.700792156823091</v>
      </c>
      <c r="K413" s="45">
        <f t="shared" ca="1" si="54"/>
        <v>-26.735588780269577</v>
      </c>
      <c r="L413" s="35">
        <f t="shared" si="55"/>
        <v>-1119.7081378009182</v>
      </c>
      <c r="P413" s="9"/>
      <c r="Q413" s="26"/>
    </row>
    <row r="414" spans="1:17" x14ac:dyDescent="0.3">
      <c r="A414">
        <v>305</v>
      </c>
      <c r="B414" s="3">
        <v>0.80548397244653347</v>
      </c>
      <c r="C414" s="2">
        <v>96.175139060883183</v>
      </c>
      <c r="D414" s="1">
        <v>0.51230620832834872</v>
      </c>
      <c r="E414" s="9">
        <f t="shared" si="48"/>
        <v>24.043784765220796</v>
      </c>
      <c r="F414" s="3">
        <f t="shared" si="49"/>
        <v>1.0246124166566974E-2</v>
      </c>
      <c r="G414">
        <f t="shared" ca="1" si="50"/>
        <v>0</v>
      </c>
      <c r="H414" s="9">
        <f t="shared" ca="1" si="51"/>
        <v>0</v>
      </c>
      <c r="I414" s="12">
        <f t="shared" si="52"/>
        <v>0</v>
      </c>
      <c r="J414" s="30">
        <f t="shared" ca="1" si="53"/>
        <v>-24.043784765220796</v>
      </c>
      <c r="K414" s="45">
        <f t="shared" ca="1" si="54"/>
        <v>-29.850109484104944</v>
      </c>
      <c r="L414" s="35">
        <f t="shared" si="55"/>
        <v>-1120.5136217733648</v>
      </c>
      <c r="P414" s="9"/>
      <c r="Q414" s="26"/>
    </row>
    <row r="415" spans="1:17" x14ac:dyDescent="0.3">
      <c r="A415">
        <v>718</v>
      </c>
      <c r="B415" s="3">
        <v>0.60515355112073177</v>
      </c>
      <c r="C415" s="2">
        <v>95.090251889881486</v>
      </c>
      <c r="D415" s="1">
        <v>0.65090810987158321</v>
      </c>
      <c r="E415" s="9">
        <f t="shared" si="48"/>
        <v>23.772562972470372</v>
      </c>
      <c r="F415" s="3">
        <f t="shared" si="49"/>
        <v>1.3018162197431665E-2</v>
      </c>
      <c r="G415">
        <f t="shared" ca="1" si="50"/>
        <v>0</v>
      </c>
      <c r="H415" s="9">
        <f t="shared" ca="1" si="51"/>
        <v>0</v>
      </c>
      <c r="I415" s="12">
        <f t="shared" si="52"/>
        <v>0</v>
      </c>
      <c r="J415" s="30">
        <f t="shared" ca="1" si="53"/>
        <v>-23.772562972470372</v>
      </c>
      <c r="K415" s="45">
        <f t="shared" ca="1" si="54"/>
        <v>-39.28352222083813</v>
      </c>
      <c r="L415" s="35">
        <f t="shared" si="55"/>
        <v>-1121.1187753244856</v>
      </c>
      <c r="P415" s="9"/>
      <c r="Q415" s="26"/>
    </row>
    <row r="416" spans="1:17" x14ac:dyDescent="0.3">
      <c r="A416">
        <v>707</v>
      </c>
      <c r="B416" s="3">
        <v>0.42070180467416507</v>
      </c>
      <c r="C416" s="2">
        <v>90.364466751957792</v>
      </c>
      <c r="D416" s="1">
        <v>0.68573498692666646</v>
      </c>
      <c r="E416" s="9">
        <f t="shared" si="48"/>
        <v>22.591116687989448</v>
      </c>
      <c r="F416" s="3">
        <f t="shared" si="49"/>
        <v>1.3714699738533329E-2</v>
      </c>
      <c r="G416">
        <f t="shared" ca="1" si="50"/>
        <v>1</v>
      </c>
      <c r="H416" s="9">
        <f t="shared" ca="1" si="51"/>
        <v>25</v>
      </c>
      <c r="I416" s="12">
        <f t="shared" si="52"/>
        <v>0</v>
      </c>
      <c r="J416" s="30">
        <f t="shared" ca="1" si="53"/>
        <v>2.4088833120105519</v>
      </c>
      <c r="K416" s="45">
        <f t="shared" ca="1" si="54"/>
        <v>5.7258687394418004</v>
      </c>
      <c r="L416" s="35">
        <f t="shared" si="55"/>
        <v>-1121.5394771291596</v>
      </c>
      <c r="P416" s="9"/>
      <c r="Q416" s="26"/>
    </row>
    <row r="417" spans="1:17" x14ac:dyDescent="0.3">
      <c r="A417">
        <v>962</v>
      </c>
      <c r="B417" s="3">
        <v>0.3621252484718851</v>
      </c>
      <c r="C417" s="2">
        <v>95.408128218027827</v>
      </c>
      <c r="D417" s="1">
        <v>0.61690368932313355</v>
      </c>
      <c r="E417" s="9">
        <f t="shared" si="48"/>
        <v>23.852032054506957</v>
      </c>
      <c r="F417" s="3">
        <f t="shared" si="49"/>
        <v>1.2338073786462671E-2</v>
      </c>
      <c r="G417">
        <f t="shared" ca="1" si="50"/>
        <v>0</v>
      </c>
      <c r="H417" s="9">
        <f t="shared" ca="1" si="51"/>
        <v>0</v>
      </c>
      <c r="I417" s="12">
        <f t="shared" si="52"/>
        <v>0</v>
      </c>
      <c r="J417" s="30">
        <f t="shared" ca="1" si="53"/>
        <v>-23.852032054506957</v>
      </c>
      <c r="K417" s="45">
        <f t="shared" ca="1" si="54"/>
        <v>-65.866802039236418</v>
      </c>
      <c r="L417" s="35">
        <f t="shared" si="55"/>
        <v>-1121.9016023776314</v>
      </c>
      <c r="P417" s="9"/>
      <c r="Q417" s="26"/>
    </row>
    <row r="418" spans="1:17" x14ac:dyDescent="0.3">
      <c r="P418" s="9"/>
      <c r="Q418" s="26"/>
    </row>
    <row r="419" spans="1:17" x14ac:dyDescent="0.3">
      <c r="P419" s="9"/>
      <c r="Q419" s="26"/>
    </row>
    <row r="420" spans="1:17" x14ac:dyDescent="0.3">
      <c r="P420" s="9"/>
      <c r="Q420" s="26"/>
    </row>
    <row r="421" spans="1:17" x14ac:dyDescent="0.3">
      <c r="P421" s="9"/>
      <c r="Q421" s="26"/>
    </row>
    <row r="422" spans="1:17" x14ac:dyDescent="0.3">
      <c r="P422" s="9"/>
      <c r="Q422" s="26"/>
    </row>
    <row r="423" spans="1:17" x14ac:dyDescent="0.3">
      <c r="P423" s="9"/>
      <c r="Q423" s="26"/>
    </row>
    <row r="424" spans="1:17" x14ac:dyDescent="0.3">
      <c r="P424" s="9"/>
      <c r="Q424" s="26"/>
    </row>
    <row r="425" spans="1:17" x14ac:dyDescent="0.3">
      <c r="P425" s="9"/>
      <c r="Q425" s="26"/>
    </row>
    <row r="426" spans="1:17" x14ac:dyDescent="0.3">
      <c r="P426" s="9"/>
      <c r="Q426" s="26"/>
    </row>
    <row r="427" spans="1:17" x14ac:dyDescent="0.3">
      <c r="P427" s="9"/>
      <c r="Q427" s="26"/>
    </row>
    <row r="428" spans="1:17" x14ac:dyDescent="0.3">
      <c r="P428" s="9"/>
      <c r="Q428" s="26"/>
    </row>
    <row r="429" spans="1:17" x14ac:dyDescent="0.3">
      <c r="P429" s="9"/>
      <c r="Q429" s="26"/>
    </row>
    <row r="430" spans="1:17" x14ac:dyDescent="0.3">
      <c r="P430" s="9"/>
      <c r="Q430" s="26"/>
    </row>
    <row r="431" spans="1:17" x14ac:dyDescent="0.3">
      <c r="P431" s="9"/>
      <c r="Q431" s="26"/>
    </row>
    <row r="432" spans="1:17" x14ac:dyDescent="0.3">
      <c r="P432" s="9"/>
      <c r="Q432" s="26"/>
    </row>
    <row r="433" spans="16:17" x14ac:dyDescent="0.3">
      <c r="P433" s="9"/>
      <c r="Q433" s="26"/>
    </row>
    <row r="434" spans="16:17" x14ac:dyDescent="0.3">
      <c r="P434" s="9"/>
      <c r="Q434" s="26"/>
    </row>
    <row r="435" spans="16:17" x14ac:dyDescent="0.3">
      <c r="P435" s="9"/>
      <c r="Q435" s="26"/>
    </row>
    <row r="436" spans="16:17" x14ac:dyDescent="0.3">
      <c r="P436" s="9"/>
      <c r="Q436" s="26"/>
    </row>
    <row r="437" spans="16:17" x14ac:dyDescent="0.3">
      <c r="P437" s="9"/>
      <c r="Q437" s="26"/>
    </row>
    <row r="438" spans="16:17" x14ac:dyDescent="0.3">
      <c r="P438" s="9"/>
      <c r="Q438" s="26"/>
    </row>
    <row r="439" spans="16:17" x14ac:dyDescent="0.3">
      <c r="P439" s="9"/>
      <c r="Q439" s="26"/>
    </row>
    <row r="440" spans="16:17" x14ac:dyDescent="0.3">
      <c r="P440" s="9"/>
      <c r="Q440" s="26"/>
    </row>
    <row r="441" spans="16:17" x14ac:dyDescent="0.3">
      <c r="P441" s="9"/>
      <c r="Q441" s="26"/>
    </row>
    <row r="442" spans="16:17" x14ac:dyDescent="0.3">
      <c r="P442" s="9"/>
      <c r="Q442" s="26"/>
    </row>
    <row r="443" spans="16:17" x14ac:dyDescent="0.3">
      <c r="P443" s="9"/>
      <c r="Q443" s="26"/>
    </row>
    <row r="444" spans="16:17" x14ac:dyDescent="0.3">
      <c r="P444" s="9"/>
      <c r="Q444" s="26"/>
    </row>
    <row r="445" spans="16:17" x14ac:dyDescent="0.3">
      <c r="P445" s="9"/>
      <c r="Q445" s="26"/>
    </row>
    <row r="446" spans="16:17" x14ac:dyDescent="0.3">
      <c r="P446" s="9"/>
      <c r="Q446" s="26"/>
    </row>
    <row r="447" spans="16:17" x14ac:dyDescent="0.3">
      <c r="P447" s="9"/>
      <c r="Q447" s="26"/>
    </row>
    <row r="448" spans="16:17" x14ac:dyDescent="0.3">
      <c r="P448" s="9"/>
      <c r="Q448" s="26"/>
    </row>
    <row r="449" spans="16:17" x14ac:dyDescent="0.3">
      <c r="P449" s="9"/>
      <c r="Q449" s="26"/>
    </row>
    <row r="450" spans="16:17" x14ac:dyDescent="0.3">
      <c r="P450" s="9"/>
      <c r="Q450" s="26"/>
    </row>
    <row r="451" spans="16:17" x14ac:dyDescent="0.3">
      <c r="P451" s="9"/>
      <c r="Q451" s="26"/>
    </row>
    <row r="452" spans="16:17" x14ac:dyDescent="0.3">
      <c r="P452" s="9"/>
      <c r="Q452" s="26"/>
    </row>
    <row r="453" spans="16:17" x14ac:dyDescent="0.3">
      <c r="P453" s="9"/>
      <c r="Q453" s="26"/>
    </row>
    <row r="454" spans="16:17" x14ac:dyDescent="0.3">
      <c r="P454" s="9"/>
      <c r="Q454" s="26"/>
    </row>
    <row r="455" spans="16:17" x14ac:dyDescent="0.3">
      <c r="P455" s="9"/>
      <c r="Q455" s="26"/>
    </row>
    <row r="456" spans="16:17" x14ac:dyDescent="0.3">
      <c r="P456" s="9"/>
      <c r="Q456" s="26"/>
    </row>
    <row r="457" spans="16:17" x14ac:dyDescent="0.3">
      <c r="P457" s="9"/>
      <c r="Q457" s="26"/>
    </row>
    <row r="458" spans="16:17" x14ac:dyDescent="0.3">
      <c r="P458" s="9"/>
      <c r="Q458" s="26"/>
    </row>
    <row r="459" spans="16:17" x14ac:dyDescent="0.3">
      <c r="P459" s="9"/>
      <c r="Q459" s="26"/>
    </row>
    <row r="460" spans="16:17" x14ac:dyDescent="0.3">
      <c r="P460" s="9"/>
      <c r="Q460" s="26"/>
    </row>
    <row r="461" spans="16:17" x14ac:dyDescent="0.3">
      <c r="P461" s="9"/>
      <c r="Q461" s="26"/>
    </row>
    <row r="462" spans="16:17" x14ac:dyDescent="0.3">
      <c r="P462" s="9"/>
      <c r="Q462" s="26"/>
    </row>
    <row r="463" spans="16:17" x14ac:dyDescent="0.3">
      <c r="P463" s="9"/>
      <c r="Q463" s="26"/>
    </row>
    <row r="464" spans="16:17" x14ac:dyDescent="0.3">
      <c r="P464" s="9"/>
      <c r="Q464" s="26"/>
    </row>
    <row r="465" spans="16:17" x14ac:dyDescent="0.3">
      <c r="P465" s="9"/>
      <c r="Q465" s="26"/>
    </row>
    <row r="466" spans="16:17" x14ac:dyDescent="0.3">
      <c r="P466" s="9"/>
      <c r="Q466" s="26"/>
    </row>
    <row r="467" spans="16:17" x14ac:dyDescent="0.3">
      <c r="P467" s="9"/>
      <c r="Q467" s="26"/>
    </row>
    <row r="468" spans="16:17" x14ac:dyDescent="0.3">
      <c r="P468" s="9"/>
      <c r="Q468" s="26"/>
    </row>
    <row r="469" spans="16:17" x14ac:dyDescent="0.3">
      <c r="P469" s="9"/>
      <c r="Q469" s="26"/>
    </row>
    <row r="470" spans="16:17" x14ac:dyDescent="0.3">
      <c r="P470" s="9"/>
      <c r="Q470" s="26"/>
    </row>
    <row r="471" spans="16:17" x14ac:dyDescent="0.3">
      <c r="P471" s="9"/>
      <c r="Q471" s="26"/>
    </row>
    <row r="472" spans="16:17" x14ac:dyDescent="0.3">
      <c r="P472" s="9"/>
      <c r="Q472" s="26"/>
    </row>
    <row r="473" spans="16:17" x14ac:dyDescent="0.3">
      <c r="P473" s="9"/>
      <c r="Q473" s="26"/>
    </row>
    <row r="474" spans="16:17" x14ac:dyDescent="0.3">
      <c r="P474" s="9"/>
      <c r="Q474" s="26"/>
    </row>
    <row r="475" spans="16:17" x14ac:dyDescent="0.3">
      <c r="P475" s="9"/>
      <c r="Q475" s="26"/>
    </row>
    <row r="476" spans="16:17" x14ac:dyDescent="0.3">
      <c r="P476" s="9"/>
      <c r="Q476" s="26"/>
    </row>
    <row r="477" spans="16:17" x14ac:dyDescent="0.3">
      <c r="P477" s="9"/>
      <c r="Q477" s="26"/>
    </row>
    <row r="478" spans="16:17" x14ac:dyDescent="0.3">
      <c r="P478" s="9"/>
      <c r="Q478" s="26"/>
    </row>
    <row r="479" spans="16:17" x14ac:dyDescent="0.3">
      <c r="P479" s="9"/>
      <c r="Q479" s="26"/>
    </row>
    <row r="480" spans="16:17" x14ac:dyDescent="0.3">
      <c r="P480" s="9"/>
      <c r="Q480" s="26"/>
    </row>
    <row r="481" spans="16:17" x14ac:dyDescent="0.3">
      <c r="P481" s="9"/>
      <c r="Q481" s="26"/>
    </row>
    <row r="482" spans="16:17" x14ac:dyDescent="0.3">
      <c r="P482" s="9"/>
      <c r="Q482" s="26"/>
    </row>
    <row r="483" spans="16:17" x14ac:dyDescent="0.3">
      <c r="P483" s="9"/>
      <c r="Q483" s="26"/>
    </row>
    <row r="484" spans="16:17" x14ac:dyDescent="0.3">
      <c r="P484" s="9"/>
      <c r="Q484" s="26"/>
    </row>
    <row r="485" spans="16:17" x14ac:dyDescent="0.3">
      <c r="P485" s="9"/>
      <c r="Q485" s="26"/>
    </row>
    <row r="486" spans="16:17" x14ac:dyDescent="0.3">
      <c r="P486" s="9"/>
      <c r="Q486" s="26"/>
    </row>
    <row r="487" spans="16:17" x14ac:dyDescent="0.3">
      <c r="P487" s="9"/>
      <c r="Q487" s="26"/>
    </row>
    <row r="488" spans="16:17" x14ac:dyDescent="0.3">
      <c r="P488" s="9"/>
      <c r="Q488" s="26"/>
    </row>
    <row r="489" spans="16:17" x14ac:dyDescent="0.3">
      <c r="P489" s="9"/>
      <c r="Q489" s="26"/>
    </row>
    <row r="490" spans="16:17" x14ac:dyDescent="0.3">
      <c r="P490" s="9"/>
      <c r="Q490" s="26"/>
    </row>
    <row r="491" spans="16:17" x14ac:dyDescent="0.3">
      <c r="P491" s="9"/>
      <c r="Q491" s="26"/>
    </row>
    <row r="492" spans="16:17" x14ac:dyDescent="0.3">
      <c r="P492" s="9"/>
      <c r="Q492" s="26"/>
    </row>
    <row r="493" spans="16:17" x14ac:dyDescent="0.3">
      <c r="P493" s="9"/>
      <c r="Q493" s="26"/>
    </row>
    <row r="494" spans="16:17" x14ac:dyDescent="0.3">
      <c r="P494" s="9"/>
      <c r="Q494" s="26"/>
    </row>
    <row r="495" spans="16:17" x14ac:dyDescent="0.3">
      <c r="P495" s="9"/>
      <c r="Q495" s="26"/>
    </row>
    <row r="496" spans="16:17" x14ac:dyDescent="0.3">
      <c r="P496" s="9"/>
      <c r="Q496" s="26"/>
    </row>
    <row r="497" spans="16:17" x14ac:dyDescent="0.3">
      <c r="P497" s="9"/>
      <c r="Q497" s="26"/>
    </row>
    <row r="498" spans="16:17" x14ac:dyDescent="0.3">
      <c r="P498" s="9"/>
      <c r="Q498" s="26"/>
    </row>
    <row r="499" spans="16:17" x14ac:dyDescent="0.3">
      <c r="P499" s="9"/>
      <c r="Q499" s="26"/>
    </row>
    <row r="500" spans="16:17" x14ac:dyDescent="0.3">
      <c r="P500" s="9"/>
      <c r="Q500" s="26"/>
    </row>
    <row r="501" spans="16:17" x14ac:dyDescent="0.3">
      <c r="P501" s="9"/>
      <c r="Q501" s="26"/>
    </row>
    <row r="502" spans="16:17" x14ac:dyDescent="0.3">
      <c r="P502" s="9"/>
      <c r="Q502" s="26"/>
    </row>
    <row r="503" spans="16:17" x14ac:dyDescent="0.3">
      <c r="P503" s="9"/>
      <c r="Q503" s="26"/>
    </row>
    <row r="504" spans="16:17" x14ac:dyDescent="0.3">
      <c r="P504" s="9"/>
      <c r="Q504" s="26"/>
    </row>
    <row r="505" spans="16:17" x14ac:dyDescent="0.3">
      <c r="P505" s="9"/>
      <c r="Q505" s="26"/>
    </row>
    <row r="506" spans="16:17" x14ac:dyDescent="0.3">
      <c r="P506" s="9"/>
      <c r="Q506" s="26"/>
    </row>
    <row r="507" spans="16:17" x14ac:dyDescent="0.3">
      <c r="P507" s="9"/>
      <c r="Q507" s="26"/>
    </row>
    <row r="508" spans="16:17" x14ac:dyDescent="0.3">
      <c r="P508" s="9"/>
      <c r="Q508" s="26"/>
    </row>
    <row r="509" spans="16:17" x14ac:dyDescent="0.3">
      <c r="P509" s="9"/>
      <c r="Q509" s="26"/>
    </row>
    <row r="510" spans="16:17" x14ac:dyDescent="0.3">
      <c r="P510" s="9"/>
      <c r="Q510" s="26"/>
    </row>
    <row r="511" spans="16:17" x14ac:dyDescent="0.3">
      <c r="P511" s="9"/>
      <c r="Q511" s="26"/>
    </row>
    <row r="512" spans="16:17" x14ac:dyDescent="0.3">
      <c r="P512" s="9"/>
      <c r="Q512" s="26"/>
    </row>
    <row r="513" spans="16:17" x14ac:dyDescent="0.3">
      <c r="P513" s="9"/>
      <c r="Q513" s="26"/>
    </row>
    <row r="514" spans="16:17" x14ac:dyDescent="0.3">
      <c r="P514" s="9"/>
      <c r="Q514" s="26"/>
    </row>
  </sheetData>
  <autoFilter ref="A1:L417" xr:uid="{00000000-0001-0000-0000-000000000000}">
    <sortState xmlns:xlrd2="http://schemas.microsoft.com/office/spreadsheetml/2017/richdata2" ref="A2:L417">
      <sortCondition descending="1" ref="K1:K417"/>
    </sortState>
  </autoFilter>
  <sortState xmlns:xlrd2="http://schemas.microsoft.com/office/spreadsheetml/2017/richdata2" ref="A2:L417">
    <sortCondition ref="B2:B417"/>
    <sortCondition descending="1" ref="K2:K417"/>
  </sortState>
  <mergeCells count="9">
    <mergeCell ref="S41:T41"/>
    <mergeCell ref="S62:T62"/>
    <mergeCell ref="O1:Q1"/>
    <mergeCell ref="S24:S25"/>
    <mergeCell ref="S35:S36"/>
    <mergeCell ref="S18:T18"/>
    <mergeCell ref="S29:T29"/>
    <mergeCell ref="S26:S27"/>
    <mergeCell ref="S37:S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9FEE-2B53-45DC-8DF8-EAFD3B3A1E47}">
  <sheetPr codeName="Sheet12"/>
  <dimension ref="A1"/>
  <sheetViews>
    <sheetView workbookViewId="0"/>
  </sheetViews>
  <sheetFormatPr defaultRowHeight="14.4" x14ac:dyDescent="0.3"/>
  <cols>
    <col min="2" max="2" width="14.5546875" customWidth="1"/>
    <col min="3" max="3" width="8.33203125" customWidth="1"/>
    <col min="4" max="4" width="13" customWidth="1"/>
    <col min="5" max="5" width="11.77734375" customWidth="1"/>
    <col min="6" max="6" width="9.77734375" bestFit="1" customWidth="1"/>
    <col min="8" max="8" width="8.33203125" customWidth="1"/>
    <col min="9" max="9" width="16.33203125" customWidth="1"/>
    <col min="13" max="13" width="27.21875" bestFit="1" customWidth="1"/>
    <col min="14" max="14" width="13.88671875" customWidth="1"/>
  </cols>
  <sheetData>
    <row r="1" ht="25.8" customHeight="1" x14ac:dyDescent="0.3"/>
  </sheetData>
  <sortState xmlns:xlrd2="http://schemas.microsoft.com/office/spreadsheetml/2017/richdata2" ref="A2:D515">
    <sortCondition descending="1" ref="D1:D51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300E9-90E2-4830-8BF6-B1C7007DC7E3}">
  <sheetPr codeName="Sheet10"/>
  <dimension ref="B1:P416"/>
  <sheetViews>
    <sheetView tabSelected="1" workbookViewId="0">
      <selection activeCell="K7" sqref="K7"/>
    </sheetView>
  </sheetViews>
  <sheetFormatPr defaultRowHeight="14.4" x14ac:dyDescent="0.3"/>
  <cols>
    <col min="1" max="1" width="13" customWidth="1"/>
    <col min="2" max="2" width="11.109375" customWidth="1"/>
    <col min="3" max="3" width="11.77734375" customWidth="1"/>
    <col min="4" max="4" width="9.77734375" bestFit="1" customWidth="1"/>
    <col min="5" max="5" width="12.44140625" bestFit="1" customWidth="1"/>
    <col min="7" max="7" width="16.33203125" style="85" customWidth="1"/>
    <col min="8" max="8" width="14.33203125" bestFit="1" customWidth="1"/>
    <col min="9" max="9" width="19.5546875" customWidth="1"/>
    <col min="11" max="11" width="27.21875" bestFit="1" customWidth="1"/>
    <col min="12" max="12" width="14.33203125" customWidth="1"/>
    <col min="13" max="13" width="10.44140625" customWidth="1"/>
    <col min="14" max="14" width="10.77734375" customWidth="1"/>
    <col min="16" max="16" width="10.6640625" customWidth="1"/>
  </cols>
  <sheetData>
    <row r="1" spans="2:16" ht="25.8" customHeight="1" x14ac:dyDescent="0.3">
      <c r="B1" s="82" t="s">
        <v>70</v>
      </c>
      <c r="C1" s="81" t="s">
        <v>63</v>
      </c>
      <c r="D1" s="81" t="s">
        <v>57</v>
      </c>
      <c r="E1" s="81" t="s">
        <v>66</v>
      </c>
      <c r="F1" s="81" t="s">
        <v>62</v>
      </c>
      <c r="G1" s="83" t="s">
        <v>35</v>
      </c>
      <c r="H1" s="81" t="s">
        <v>71</v>
      </c>
      <c r="I1" s="82" t="s">
        <v>72</v>
      </c>
    </row>
    <row r="2" spans="2:16" ht="28.8" x14ac:dyDescent="0.3">
      <c r="B2" s="12">
        <f>VLOOKUP(C2,'Raw Data'!$A$1:$I$417,9,FALSE)</f>
        <v>1</v>
      </c>
      <c r="C2">
        <v>423</v>
      </c>
      <c r="D2">
        <f>COUNTIF(Replication!$B$2:$ML$100,C2)</f>
        <v>0</v>
      </c>
      <c r="E2" s="26">
        <f t="shared" ref="E2:E65" si="0">D2/50</f>
        <v>0</v>
      </c>
      <c r="F2" s="1">
        <f>VLOOKUP(C2,'Raw Data'!$A$1:$L$417,2,FALSE)</f>
        <v>1.393934377638294</v>
      </c>
      <c r="G2" s="84">
        <f>IF(B2&gt;0,500-F2,500)</f>
        <v>498.60606562236171</v>
      </c>
      <c r="H2" s="12">
        <f>IF(G2&gt;0,IF(B2&gt;0,1,0),0)</f>
        <v>1</v>
      </c>
      <c r="I2">
        <f t="shared" ref="I2:I65" si="1">IF(H2=B2,1,0)</f>
        <v>1</v>
      </c>
      <c r="K2" s="86" t="s">
        <v>64</v>
      </c>
      <c r="L2" s="10">
        <f>COUNTIF(B2:B416,"&gt;0")</f>
        <v>158</v>
      </c>
      <c r="N2" s="87"/>
      <c r="O2" s="61" t="s">
        <v>75</v>
      </c>
      <c r="P2" s="60" t="s">
        <v>76</v>
      </c>
    </row>
    <row r="3" spans="2:16" x14ac:dyDescent="0.3">
      <c r="B3" s="12">
        <f>VLOOKUP(C3,'Raw Data'!$A$1:$I$417,9,FALSE)</f>
        <v>1</v>
      </c>
      <c r="C3">
        <v>35</v>
      </c>
      <c r="D3">
        <f>COUNTIF(Replication!$B$2:$ML$100,C3)</f>
        <v>0</v>
      </c>
      <c r="E3" s="26">
        <f t="shared" si="0"/>
        <v>0</v>
      </c>
      <c r="F3" s="1">
        <f>VLOOKUP(C3,'Raw Data'!$A$1:$L$417,2,FALSE)</f>
        <v>0.43645018317542084</v>
      </c>
      <c r="G3" s="84">
        <f>IF(B3&gt;0,G2-F3,G2)</f>
        <v>498.16961543918632</v>
      </c>
      <c r="H3" s="12">
        <f t="shared" ref="H3:H66" si="2">IF(G3&gt;0,IF(B3&gt;0,1,0),0)</f>
        <v>1</v>
      </c>
      <c r="I3">
        <f t="shared" si="1"/>
        <v>1</v>
      </c>
      <c r="K3" s="86" t="s">
        <v>67</v>
      </c>
      <c r="L3" s="17">
        <v>497.5</v>
      </c>
      <c r="N3" s="89" t="s">
        <v>73</v>
      </c>
      <c r="O3" s="22">
        <f>P3/185</f>
        <v>1</v>
      </c>
      <c r="P3" s="90">
        <f>COUNTIF(I2:I186,"1")</f>
        <v>185</v>
      </c>
    </row>
    <row r="4" spans="2:16" x14ac:dyDescent="0.3">
      <c r="B4" s="12">
        <f>VLOOKUP(C4,'Raw Data'!$A$1:$I$417,9,FALSE)</f>
        <v>1</v>
      </c>
      <c r="C4">
        <v>401</v>
      </c>
      <c r="D4">
        <f>COUNTIF(Replication!$B$2:$ML$100,C4)</f>
        <v>0</v>
      </c>
      <c r="E4" s="26">
        <f t="shared" si="0"/>
        <v>0</v>
      </c>
      <c r="F4" s="1">
        <f>VLOOKUP(C4,'Raw Data'!$A$1:$L$417,2,FALSE)</f>
        <v>1.393934377638294</v>
      </c>
      <c r="G4" s="84">
        <f t="shared" ref="G4:G67" si="3">IF(B4&gt;0,G3-F4,G3)</f>
        <v>496.77568106154803</v>
      </c>
      <c r="H4" s="12">
        <f t="shared" si="2"/>
        <v>1</v>
      </c>
      <c r="I4">
        <f t="shared" si="1"/>
        <v>1</v>
      </c>
      <c r="K4" s="10" t="s">
        <v>65</v>
      </c>
      <c r="L4" s="10">
        <f>COUNTIF(H2:H416,"&gt;0")</f>
        <v>158</v>
      </c>
      <c r="N4" s="57" t="s">
        <v>74</v>
      </c>
      <c r="O4" s="88">
        <f>100%-O3</f>
        <v>0</v>
      </c>
      <c r="P4" s="58">
        <f>185-P3</f>
        <v>0</v>
      </c>
    </row>
    <row r="5" spans="2:16" x14ac:dyDescent="0.3">
      <c r="B5" s="12">
        <f>VLOOKUP(C5,'Raw Data'!$A$1:$I$417,9,FALSE)</f>
        <v>1</v>
      </c>
      <c r="C5">
        <v>982</v>
      </c>
      <c r="D5">
        <f>COUNTIF(Replication!$B$2:$ML$100,C5)</f>
        <v>0</v>
      </c>
      <c r="E5" s="26">
        <f t="shared" si="0"/>
        <v>0</v>
      </c>
      <c r="F5" s="1">
        <f>VLOOKUP(C5,'Raw Data'!$A$1:$L$417,2,FALSE)</f>
        <v>0.33735976863779937</v>
      </c>
      <c r="G5" s="84">
        <f t="shared" si="3"/>
        <v>496.43832129291025</v>
      </c>
      <c r="H5" s="12">
        <f t="shared" si="2"/>
        <v>1</v>
      </c>
      <c r="I5">
        <f t="shared" si="1"/>
        <v>1</v>
      </c>
      <c r="K5" s="10" t="s">
        <v>68</v>
      </c>
      <c r="L5" s="17">
        <f>SUMPRODUCT(F2:F416,H2:H416)</f>
        <v>497.32291348097516</v>
      </c>
    </row>
    <row r="6" spans="2:16" x14ac:dyDescent="0.3">
      <c r="B6" s="12">
        <f>VLOOKUP(C6,'Raw Data'!$A$1:$I$417,9,FALSE)</f>
        <v>1</v>
      </c>
      <c r="C6">
        <v>101</v>
      </c>
      <c r="D6">
        <f>COUNTIF(Replication!$B$2:$ML$100,C6)</f>
        <v>0</v>
      </c>
      <c r="E6" s="26">
        <f t="shared" si="0"/>
        <v>0</v>
      </c>
      <c r="F6" s="1">
        <f>VLOOKUP(C6,'Raw Data'!$A$1:$L$417,2,FALSE)</f>
        <v>0.80745494115184835</v>
      </c>
      <c r="G6" s="84">
        <f t="shared" si="3"/>
        <v>495.63086635175841</v>
      </c>
      <c r="H6" s="12">
        <f t="shared" si="2"/>
        <v>1</v>
      </c>
      <c r="I6">
        <f t="shared" si="1"/>
        <v>1</v>
      </c>
    </row>
    <row r="7" spans="2:16" x14ac:dyDescent="0.3">
      <c r="B7" s="12">
        <f>VLOOKUP(C7,'Raw Data'!$A$1:$I$417,9,FALSE)</f>
        <v>1</v>
      </c>
      <c r="C7">
        <v>350</v>
      </c>
      <c r="D7">
        <f>COUNTIF(Replication!$B$2:$ML$100,C7)</f>
        <v>0</v>
      </c>
      <c r="E7" s="26">
        <f t="shared" si="0"/>
        <v>0</v>
      </c>
      <c r="F7" s="1">
        <f>VLOOKUP(C7,'Raw Data'!$A$1:$L$417,2,FALSE)</f>
        <v>0.56416783163394379</v>
      </c>
      <c r="G7" s="84">
        <f t="shared" si="3"/>
        <v>495.06669852012448</v>
      </c>
      <c r="H7" s="12">
        <f t="shared" si="2"/>
        <v>1</v>
      </c>
      <c r="I7">
        <f t="shared" si="1"/>
        <v>1</v>
      </c>
      <c r="K7" s="13" t="s">
        <v>89</v>
      </c>
    </row>
    <row r="8" spans="2:16" x14ac:dyDescent="0.3">
      <c r="B8" s="12">
        <f>VLOOKUP(C8,'Raw Data'!$A$1:$I$417,9,FALSE)</f>
        <v>1</v>
      </c>
      <c r="C8">
        <v>561</v>
      </c>
      <c r="D8">
        <f>COUNTIF(Replication!$B$2:$ML$100,C8)</f>
        <v>0</v>
      </c>
      <c r="E8" s="26">
        <f t="shared" si="0"/>
        <v>0</v>
      </c>
      <c r="F8" s="1">
        <f>VLOOKUP(C8,'Raw Data'!$A$1:$L$417,2,FALSE)</f>
        <v>1.4930828690322018</v>
      </c>
      <c r="G8" s="84">
        <f t="shared" si="3"/>
        <v>493.57361565109227</v>
      </c>
      <c r="H8" s="12">
        <f t="shared" si="2"/>
        <v>1</v>
      </c>
      <c r="I8">
        <f t="shared" si="1"/>
        <v>1</v>
      </c>
    </row>
    <row r="9" spans="2:16" x14ac:dyDescent="0.3">
      <c r="B9" s="12">
        <f>VLOOKUP(C9,'Raw Data'!$A$1:$I$417,9,FALSE)</f>
        <v>1</v>
      </c>
      <c r="C9">
        <v>764</v>
      </c>
      <c r="D9">
        <f>COUNTIF(Replication!$B$2:$ML$100,C9)</f>
        <v>0</v>
      </c>
      <c r="E9" s="26">
        <f t="shared" si="0"/>
        <v>0</v>
      </c>
      <c r="F9" s="1">
        <f>VLOOKUP(C9,'Raw Data'!$A$1:$L$417,2,FALSE)</f>
        <v>1.5783199717317542</v>
      </c>
      <c r="G9" s="84">
        <f t="shared" si="3"/>
        <v>491.99529567936054</v>
      </c>
      <c r="H9" s="12">
        <f t="shared" si="2"/>
        <v>1</v>
      </c>
      <c r="I9">
        <f t="shared" si="1"/>
        <v>1</v>
      </c>
    </row>
    <row r="10" spans="2:16" x14ac:dyDescent="0.3">
      <c r="B10" s="12">
        <f>VLOOKUP(C10,'Raw Data'!$A$1:$I$417,9,FALSE)</f>
        <v>1</v>
      </c>
      <c r="C10">
        <v>774</v>
      </c>
      <c r="D10">
        <f>COUNTIF(Replication!$B$2:$ML$100,C10)</f>
        <v>0</v>
      </c>
      <c r="E10" s="26">
        <f t="shared" si="0"/>
        <v>0</v>
      </c>
      <c r="F10" s="1">
        <f>VLOOKUP(C10,'Raw Data'!$A$1:$L$417,2,FALSE)</f>
        <v>0.80469247439743818</v>
      </c>
      <c r="G10" s="84">
        <f t="shared" si="3"/>
        <v>491.19060320496311</v>
      </c>
      <c r="H10" s="12">
        <f t="shared" si="2"/>
        <v>1</v>
      </c>
      <c r="I10">
        <f t="shared" si="1"/>
        <v>1</v>
      </c>
      <c r="K10" s="92" t="s">
        <v>78</v>
      </c>
      <c r="L10" s="92" t="s">
        <v>79</v>
      </c>
      <c r="M10" s="93" t="s">
        <v>57</v>
      </c>
    </row>
    <row r="11" spans="2:16" x14ac:dyDescent="0.3">
      <c r="B11" s="12">
        <f>VLOOKUP(C11,'Raw Data'!$A$1:$I$417,9,FALSE)</f>
        <v>1</v>
      </c>
      <c r="C11">
        <v>1056</v>
      </c>
      <c r="D11">
        <f>COUNTIF(Replication!$B$2:$ML$100,C11)</f>
        <v>0</v>
      </c>
      <c r="E11" s="26">
        <f t="shared" si="0"/>
        <v>0</v>
      </c>
      <c r="F11" s="1">
        <f>VLOOKUP(C11,'Raw Data'!$A$1:$L$417,2,FALSE)</f>
        <v>1.7749600690362932</v>
      </c>
      <c r="G11" s="84">
        <f t="shared" si="3"/>
        <v>489.41564313592681</v>
      </c>
      <c r="H11" s="12">
        <f t="shared" si="2"/>
        <v>1</v>
      </c>
      <c r="I11">
        <f t="shared" si="1"/>
        <v>1</v>
      </c>
      <c r="K11" s="59">
        <v>1</v>
      </c>
      <c r="L11" s="97" t="s">
        <v>77</v>
      </c>
      <c r="M11" s="94" cm="1">
        <f t="array" ref="M11:M22">FREQUENCY($E$2:$E$416,$K$11:$K$21)</f>
        <v>0</v>
      </c>
    </row>
    <row r="12" spans="2:16" x14ac:dyDescent="0.3">
      <c r="B12" s="12">
        <f>VLOOKUP(C12,'Raw Data'!$A$1:$I$417,9,FALSE)</f>
        <v>0</v>
      </c>
      <c r="C12">
        <v>821</v>
      </c>
      <c r="D12">
        <f>COUNTIF(Replication!$B$2:$ML$100,C12)</f>
        <v>0</v>
      </c>
      <c r="E12" s="26">
        <f t="shared" si="0"/>
        <v>0</v>
      </c>
      <c r="F12" s="1">
        <f>VLOOKUP(C12,'Raw Data'!$A$1:$L$417,2,FALSE)</f>
        <v>2.0467901820589676</v>
      </c>
      <c r="G12" s="84">
        <f t="shared" si="3"/>
        <v>489.41564313592681</v>
      </c>
      <c r="H12" s="12">
        <f t="shared" si="2"/>
        <v>0</v>
      </c>
      <c r="I12">
        <f t="shared" si="1"/>
        <v>1</v>
      </c>
      <c r="K12" s="59">
        <v>0.9</v>
      </c>
      <c r="L12" s="97" t="s">
        <v>80</v>
      </c>
      <c r="M12" s="95">
        <v>0</v>
      </c>
    </row>
    <row r="13" spans="2:16" x14ac:dyDescent="0.3">
      <c r="B13" s="12">
        <f>VLOOKUP(C13,'Raw Data'!$A$1:$I$417,9,FALSE)</f>
        <v>0</v>
      </c>
      <c r="C13">
        <v>1039</v>
      </c>
      <c r="D13">
        <f>COUNTIF(Replication!$B$2:$ML$100,C13)</f>
        <v>0</v>
      </c>
      <c r="E13" s="26">
        <f t="shared" si="0"/>
        <v>0</v>
      </c>
      <c r="F13" s="1">
        <f>VLOOKUP(C13,'Raw Data'!$A$1:$L$417,2,FALSE)</f>
        <v>1.0754053635802263</v>
      </c>
      <c r="G13" s="84">
        <f t="shared" si="3"/>
        <v>489.41564313592681</v>
      </c>
      <c r="H13" s="12">
        <f t="shared" si="2"/>
        <v>0</v>
      </c>
      <c r="I13">
        <f t="shared" si="1"/>
        <v>1</v>
      </c>
      <c r="K13" s="59">
        <v>0.8</v>
      </c>
      <c r="L13" s="97" t="s">
        <v>81</v>
      </c>
      <c r="M13" s="95">
        <v>0</v>
      </c>
    </row>
    <row r="14" spans="2:16" x14ac:dyDescent="0.3">
      <c r="B14" s="12">
        <f>VLOOKUP(C14,'Raw Data'!$A$1:$I$417,9,FALSE)</f>
        <v>1</v>
      </c>
      <c r="C14">
        <v>437</v>
      </c>
      <c r="D14">
        <f>COUNTIF(Replication!$B$2:$ML$100,C14)</f>
        <v>0</v>
      </c>
      <c r="E14" s="26">
        <f t="shared" si="0"/>
        <v>0</v>
      </c>
      <c r="F14" s="1">
        <f>VLOOKUP(C14,'Raw Data'!$A$1:$L$417,2,FALSE)</f>
        <v>2.7344924567040052</v>
      </c>
      <c r="G14" s="84">
        <f t="shared" si="3"/>
        <v>486.68115067922281</v>
      </c>
      <c r="H14" s="12">
        <f t="shared" si="2"/>
        <v>1</v>
      </c>
      <c r="I14">
        <f t="shared" si="1"/>
        <v>1</v>
      </c>
      <c r="K14" s="59">
        <v>0.7</v>
      </c>
      <c r="L14" s="97" t="s">
        <v>82</v>
      </c>
      <c r="M14" s="95">
        <v>0</v>
      </c>
    </row>
    <row r="15" spans="2:16" x14ac:dyDescent="0.3">
      <c r="B15" s="12">
        <f>VLOOKUP(C15,'Raw Data'!$A$1:$I$417,9,FALSE)</f>
        <v>1</v>
      </c>
      <c r="C15">
        <v>649</v>
      </c>
      <c r="D15">
        <f>COUNTIF(Replication!$B$2:$ML$100,C15)</f>
        <v>0</v>
      </c>
      <c r="E15" s="26">
        <f t="shared" si="0"/>
        <v>0</v>
      </c>
      <c r="F15" s="1">
        <f>VLOOKUP(C15,'Raw Data'!$A$1:$L$417,2,FALSE)</f>
        <v>0.68871750558282541</v>
      </c>
      <c r="G15" s="84">
        <f t="shared" si="3"/>
        <v>485.99243317363999</v>
      </c>
      <c r="H15" s="12">
        <f t="shared" si="2"/>
        <v>1</v>
      </c>
      <c r="I15">
        <f t="shared" si="1"/>
        <v>1</v>
      </c>
      <c r="K15" s="59">
        <v>0.6</v>
      </c>
      <c r="L15" s="97" t="s">
        <v>83</v>
      </c>
      <c r="M15" s="95">
        <v>0</v>
      </c>
    </row>
    <row r="16" spans="2:16" x14ac:dyDescent="0.3">
      <c r="B16" s="12">
        <f>VLOOKUP(C16,'Raw Data'!$A$1:$I$417,9,FALSE)</f>
        <v>0</v>
      </c>
      <c r="C16">
        <v>55</v>
      </c>
      <c r="D16">
        <f>COUNTIF(Replication!$B$2:$ML$100,C16)</f>
        <v>0</v>
      </c>
      <c r="E16" s="26">
        <f t="shared" si="0"/>
        <v>0</v>
      </c>
      <c r="F16" s="1">
        <f>VLOOKUP(C16,'Raw Data'!$A$1:$L$417,2,FALSE)</f>
        <v>2.0467901820589676</v>
      </c>
      <c r="G16" s="84">
        <f t="shared" si="3"/>
        <v>485.99243317363999</v>
      </c>
      <c r="H16" s="12">
        <f t="shared" si="2"/>
        <v>0</v>
      </c>
      <c r="I16">
        <f t="shared" si="1"/>
        <v>1</v>
      </c>
      <c r="K16" s="59">
        <v>0.5</v>
      </c>
      <c r="L16" s="97" t="s">
        <v>84</v>
      </c>
      <c r="M16" s="95">
        <v>0</v>
      </c>
    </row>
    <row r="17" spans="2:13" x14ac:dyDescent="0.3">
      <c r="B17" s="12">
        <f>VLOOKUP(C17,'Raw Data'!$A$1:$I$417,9,FALSE)</f>
        <v>1</v>
      </c>
      <c r="C17">
        <v>1012</v>
      </c>
      <c r="D17">
        <f>COUNTIF(Replication!$B$2:$ML$100,C17)</f>
        <v>0</v>
      </c>
      <c r="E17" s="26">
        <f t="shared" si="0"/>
        <v>0</v>
      </c>
      <c r="F17" s="1">
        <f>VLOOKUP(C17,'Raw Data'!$A$1:$L$417,2,FALSE)</f>
        <v>1.4930828690322018</v>
      </c>
      <c r="G17" s="84">
        <f t="shared" si="3"/>
        <v>484.49935030460779</v>
      </c>
      <c r="H17" s="12">
        <f t="shared" si="2"/>
        <v>1</v>
      </c>
      <c r="I17">
        <f t="shared" si="1"/>
        <v>1</v>
      </c>
      <c r="K17" s="59">
        <v>0.4</v>
      </c>
      <c r="L17" s="97" t="s">
        <v>85</v>
      </c>
      <c r="M17" s="95">
        <v>0</v>
      </c>
    </row>
    <row r="18" spans="2:13" x14ac:dyDescent="0.3">
      <c r="B18" s="12">
        <f>VLOOKUP(C18,'Raw Data'!$A$1:$I$417,9,FALSE)</f>
        <v>1</v>
      </c>
      <c r="C18">
        <v>1086</v>
      </c>
      <c r="D18">
        <f>COUNTIF(Replication!$B$2:$ML$100,C18)</f>
        <v>0</v>
      </c>
      <c r="E18" s="26">
        <f t="shared" si="0"/>
        <v>0</v>
      </c>
      <c r="F18" s="1">
        <f>VLOOKUP(C18,'Raw Data'!$A$1:$L$417,2,FALSE)</f>
        <v>3.6511156005401268</v>
      </c>
      <c r="G18" s="84">
        <f t="shared" si="3"/>
        <v>480.84823470406764</v>
      </c>
      <c r="H18" s="12">
        <f t="shared" si="2"/>
        <v>1</v>
      </c>
      <c r="I18">
        <f t="shared" si="1"/>
        <v>1</v>
      </c>
      <c r="K18" s="59">
        <v>0.3</v>
      </c>
      <c r="L18" s="97" t="s">
        <v>86</v>
      </c>
      <c r="M18" s="95">
        <v>0</v>
      </c>
    </row>
    <row r="19" spans="2:13" x14ac:dyDescent="0.3">
      <c r="B19" s="12">
        <f>VLOOKUP(C19,'Raw Data'!$A$1:$I$417,9,FALSE)</f>
        <v>1</v>
      </c>
      <c r="C19">
        <v>86</v>
      </c>
      <c r="D19">
        <f>COUNTIF(Replication!$B$2:$ML$100,C19)</f>
        <v>0</v>
      </c>
      <c r="E19" s="26">
        <f t="shared" si="0"/>
        <v>0</v>
      </c>
      <c r="F19" s="1">
        <f>VLOOKUP(C19,'Raw Data'!$A$1:$L$417,2,FALSE)</f>
        <v>0.91356623421294469</v>
      </c>
      <c r="G19" s="84">
        <f t="shared" si="3"/>
        <v>479.93466846985467</v>
      </c>
      <c r="H19" s="12">
        <f t="shared" si="2"/>
        <v>1</v>
      </c>
      <c r="I19">
        <f t="shared" si="1"/>
        <v>1</v>
      </c>
      <c r="K19" s="59">
        <v>0.2</v>
      </c>
      <c r="L19" s="97" t="s">
        <v>87</v>
      </c>
      <c r="M19" s="95">
        <v>0</v>
      </c>
    </row>
    <row r="20" spans="2:13" x14ac:dyDescent="0.3">
      <c r="B20" s="12">
        <f>VLOOKUP(C20,'Raw Data'!$A$1:$I$417,9,FALSE)</f>
        <v>1</v>
      </c>
      <c r="C20">
        <v>238</v>
      </c>
      <c r="D20">
        <f>COUNTIF(Replication!$B$2:$ML$100,C20)</f>
        <v>0</v>
      </c>
      <c r="E20" s="26">
        <f t="shared" si="0"/>
        <v>0</v>
      </c>
      <c r="F20" s="1">
        <f>VLOOKUP(C20,'Raw Data'!$A$1:$L$417,2,FALSE)</f>
        <v>2.8667342608148338</v>
      </c>
      <c r="G20" s="84">
        <f t="shared" si="3"/>
        <v>477.06793420903983</v>
      </c>
      <c r="H20" s="12">
        <f t="shared" si="2"/>
        <v>1</v>
      </c>
      <c r="I20">
        <f t="shared" si="1"/>
        <v>1</v>
      </c>
      <c r="K20" s="91">
        <v>0.1</v>
      </c>
      <c r="L20" s="98" t="s">
        <v>88</v>
      </c>
      <c r="M20" s="96">
        <v>0</v>
      </c>
    </row>
    <row r="21" spans="2:13" x14ac:dyDescent="0.3">
      <c r="B21" s="12">
        <f>VLOOKUP(C21,'Raw Data'!$A$1:$I$417,9,FALSE)</f>
        <v>1</v>
      </c>
      <c r="C21">
        <v>728</v>
      </c>
      <c r="D21">
        <f>COUNTIF(Replication!$B$2:$ML$100,C21)</f>
        <v>0</v>
      </c>
      <c r="E21" s="26">
        <f t="shared" si="0"/>
        <v>0</v>
      </c>
      <c r="F21" s="1">
        <f>VLOOKUP(C21,'Raw Data'!$A$1:$L$417,2,FALSE)</f>
        <v>2.307131021340326</v>
      </c>
      <c r="G21" s="84">
        <f t="shared" si="3"/>
        <v>474.76080318769948</v>
      </c>
      <c r="H21" s="12">
        <f t="shared" si="2"/>
        <v>1</v>
      </c>
      <c r="I21">
        <f t="shared" si="1"/>
        <v>1</v>
      </c>
      <c r="K21" s="25">
        <v>0</v>
      </c>
      <c r="M21">
        <v>414</v>
      </c>
    </row>
    <row r="22" spans="2:13" x14ac:dyDescent="0.3">
      <c r="B22" s="12">
        <f>VLOOKUP(C22,'Raw Data'!$A$1:$I$417,9,FALSE)</f>
        <v>1</v>
      </c>
      <c r="C22">
        <v>377</v>
      </c>
      <c r="D22">
        <f>COUNTIF(Replication!$B$2:$ML$100,C22)</f>
        <v>0</v>
      </c>
      <c r="E22" s="26">
        <f t="shared" si="0"/>
        <v>0</v>
      </c>
      <c r="F22" s="1">
        <f>VLOOKUP(C22,'Raw Data'!$A$1:$L$417,2,FALSE)</f>
        <v>2.8519157528359718</v>
      </c>
      <c r="G22" s="84">
        <f t="shared" si="3"/>
        <v>471.90888743486352</v>
      </c>
      <c r="H22" s="12">
        <f t="shared" si="2"/>
        <v>1</v>
      </c>
      <c r="I22">
        <f t="shared" si="1"/>
        <v>1</v>
      </c>
      <c r="M22">
        <v>0</v>
      </c>
    </row>
    <row r="23" spans="2:13" x14ac:dyDescent="0.3">
      <c r="B23" s="12">
        <f>VLOOKUP(C23,'Raw Data'!$A$1:$I$417,9,FALSE)</f>
        <v>1</v>
      </c>
      <c r="C23">
        <v>452</v>
      </c>
      <c r="D23">
        <f>COUNTIF(Replication!$B$2:$ML$100,C23)</f>
        <v>0</v>
      </c>
      <c r="E23" s="26">
        <f t="shared" si="0"/>
        <v>0</v>
      </c>
      <c r="F23" s="1">
        <f>VLOOKUP(C23,'Raw Data'!$A$1:$L$417,2,FALSE)</f>
        <v>2.9664193506709768</v>
      </c>
      <c r="G23" s="84">
        <f t="shared" si="3"/>
        <v>468.94246808419251</v>
      </c>
      <c r="H23" s="12">
        <f t="shared" si="2"/>
        <v>1</v>
      </c>
      <c r="I23">
        <f t="shared" si="1"/>
        <v>1</v>
      </c>
    </row>
    <row r="24" spans="2:13" x14ac:dyDescent="0.3">
      <c r="B24" s="12">
        <f>VLOOKUP(C24,'Raw Data'!$A$1:$I$417,9,FALSE)</f>
        <v>0</v>
      </c>
      <c r="C24">
        <v>241</v>
      </c>
      <c r="D24">
        <f>COUNTIF(Replication!$B$2:$ML$100,C24)</f>
        <v>0</v>
      </c>
      <c r="E24" s="26">
        <f t="shared" si="0"/>
        <v>0</v>
      </c>
      <c r="F24" s="1">
        <f>VLOOKUP(C24,'Raw Data'!$A$1:$L$417,2,FALSE)</f>
        <v>3.1448978560422081</v>
      </c>
      <c r="G24" s="84">
        <f t="shared" si="3"/>
        <v>468.94246808419251</v>
      </c>
      <c r="H24" s="12">
        <f t="shared" si="2"/>
        <v>0</v>
      </c>
      <c r="I24">
        <f t="shared" si="1"/>
        <v>1</v>
      </c>
    </row>
    <row r="25" spans="2:13" x14ac:dyDescent="0.3">
      <c r="B25" s="12">
        <f>VLOOKUP(C25,'Raw Data'!$A$1:$I$417,9,FALSE)</f>
        <v>1</v>
      </c>
      <c r="C25">
        <v>793</v>
      </c>
      <c r="D25">
        <f>COUNTIF(Replication!$B$2:$ML$100,C25)</f>
        <v>0</v>
      </c>
      <c r="E25" s="26">
        <f t="shared" si="0"/>
        <v>0</v>
      </c>
      <c r="F25" s="1">
        <f>VLOOKUP(C25,'Raw Data'!$A$1:$L$417,2,FALSE)</f>
        <v>1.5306598931066917</v>
      </c>
      <c r="G25" s="84">
        <f t="shared" si="3"/>
        <v>467.41180819108581</v>
      </c>
      <c r="H25" s="12">
        <f t="shared" si="2"/>
        <v>1</v>
      </c>
      <c r="I25">
        <f t="shared" si="1"/>
        <v>1</v>
      </c>
    </row>
    <row r="26" spans="2:13" x14ac:dyDescent="0.3">
      <c r="B26" s="12">
        <f>VLOOKUP(C26,'Raw Data'!$A$1:$I$417,9,FALSE)</f>
        <v>1</v>
      </c>
      <c r="C26">
        <v>832</v>
      </c>
      <c r="D26">
        <f>COUNTIF(Replication!$B$2:$ML$100,C26)</f>
        <v>0</v>
      </c>
      <c r="E26" s="26">
        <f t="shared" si="0"/>
        <v>0</v>
      </c>
      <c r="F26" s="1">
        <f>VLOOKUP(C26,'Raw Data'!$A$1:$L$417,2,FALSE)</f>
        <v>2.5123292766081216</v>
      </c>
      <c r="G26" s="84">
        <f t="shared" si="3"/>
        <v>464.8994789144777</v>
      </c>
      <c r="H26" s="12">
        <f t="shared" si="2"/>
        <v>1</v>
      </c>
      <c r="I26">
        <f t="shared" si="1"/>
        <v>1</v>
      </c>
    </row>
    <row r="27" spans="2:13" x14ac:dyDescent="0.3">
      <c r="B27" s="12">
        <f>VLOOKUP(C27,'Raw Data'!$A$1:$I$417,9,FALSE)</f>
        <v>1</v>
      </c>
      <c r="C27">
        <v>966</v>
      </c>
      <c r="D27">
        <f>COUNTIF(Replication!$B$2:$ML$100,C27)</f>
        <v>0</v>
      </c>
      <c r="E27" s="26">
        <f t="shared" si="0"/>
        <v>0</v>
      </c>
      <c r="F27" s="1">
        <f>VLOOKUP(C27,'Raw Data'!$A$1:$L$417,2,FALSE)</f>
        <v>2.7321710400883825</v>
      </c>
      <c r="G27" s="84">
        <f t="shared" si="3"/>
        <v>462.16730787438934</v>
      </c>
      <c r="H27" s="12">
        <f t="shared" si="2"/>
        <v>1</v>
      </c>
      <c r="I27">
        <f t="shared" si="1"/>
        <v>1</v>
      </c>
    </row>
    <row r="28" spans="2:13" x14ac:dyDescent="0.3">
      <c r="B28" s="12">
        <f>VLOOKUP(C28,'Raw Data'!$A$1:$I$417,9,FALSE)</f>
        <v>1</v>
      </c>
      <c r="C28">
        <v>537</v>
      </c>
      <c r="D28">
        <f>COUNTIF(Replication!$B$2:$ML$100,C28)</f>
        <v>0</v>
      </c>
      <c r="E28" s="26">
        <f t="shared" si="0"/>
        <v>0</v>
      </c>
      <c r="F28" s="1">
        <f>VLOOKUP(C28,'Raw Data'!$A$1:$L$417,2,FALSE)</f>
        <v>1.7950126880606188</v>
      </c>
      <c r="G28" s="84">
        <f t="shared" si="3"/>
        <v>460.3722951863287</v>
      </c>
      <c r="H28" s="12">
        <f t="shared" si="2"/>
        <v>1</v>
      </c>
      <c r="I28">
        <f t="shared" si="1"/>
        <v>1</v>
      </c>
    </row>
    <row r="29" spans="2:13" x14ac:dyDescent="0.3">
      <c r="B29" s="12">
        <f>VLOOKUP(C29,'Raw Data'!$A$1:$I$417,9,FALSE)</f>
        <v>1</v>
      </c>
      <c r="C29">
        <v>1054</v>
      </c>
      <c r="D29">
        <f>COUNTIF(Replication!$B$2:$ML$100,C29)</f>
        <v>0</v>
      </c>
      <c r="E29" s="26">
        <f t="shared" si="0"/>
        <v>0</v>
      </c>
      <c r="F29" s="1">
        <f>VLOOKUP(C29,'Raw Data'!$A$1:$L$417,2,FALSE)</f>
        <v>2.7129259438412436</v>
      </c>
      <c r="G29" s="84">
        <f t="shared" si="3"/>
        <v>457.65936924248746</v>
      </c>
      <c r="H29" s="12">
        <f t="shared" si="2"/>
        <v>1</v>
      </c>
      <c r="I29">
        <f t="shared" si="1"/>
        <v>1</v>
      </c>
    </row>
    <row r="30" spans="2:13" x14ac:dyDescent="0.3">
      <c r="B30" s="12">
        <f>VLOOKUP(C30,'Raw Data'!$A$1:$I$417,9,FALSE)</f>
        <v>1</v>
      </c>
      <c r="C30">
        <v>1032</v>
      </c>
      <c r="D30">
        <f>COUNTIF(Replication!$B$2:$ML$100,C30)</f>
        <v>0</v>
      </c>
      <c r="E30" s="26">
        <f t="shared" si="0"/>
        <v>0</v>
      </c>
      <c r="F30" s="1">
        <f>VLOOKUP(C30,'Raw Data'!$A$1:$L$417,2,FALSE)</f>
        <v>2.5798664992256324</v>
      </c>
      <c r="G30" s="84">
        <f t="shared" si="3"/>
        <v>455.0795027432618</v>
      </c>
      <c r="H30" s="12">
        <f t="shared" si="2"/>
        <v>1</v>
      </c>
      <c r="I30">
        <f t="shared" si="1"/>
        <v>1</v>
      </c>
    </row>
    <row r="31" spans="2:13" x14ac:dyDescent="0.3">
      <c r="B31" s="12">
        <f>VLOOKUP(C31,'Raw Data'!$A$1:$I$417,9,FALSE)</f>
        <v>0</v>
      </c>
      <c r="C31">
        <v>189</v>
      </c>
      <c r="D31">
        <f>COUNTIF(Replication!$B$2:$ML$100,C31)</f>
        <v>0</v>
      </c>
      <c r="E31" s="26">
        <f t="shared" si="0"/>
        <v>0</v>
      </c>
      <c r="F31" s="1">
        <f>VLOOKUP(C31,'Raw Data'!$A$1:$L$417,2,FALSE)</f>
        <v>2.7549304722085735</v>
      </c>
      <c r="G31" s="84">
        <f t="shared" si="3"/>
        <v>455.0795027432618</v>
      </c>
      <c r="H31" s="12">
        <f t="shared" si="2"/>
        <v>0</v>
      </c>
      <c r="I31">
        <f t="shared" si="1"/>
        <v>1</v>
      </c>
    </row>
    <row r="32" spans="2:13" x14ac:dyDescent="0.3">
      <c r="B32" s="12">
        <f>VLOOKUP(C32,'Raw Data'!$A$1:$I$417,9,FALSE)</f>
        <v>1</v>
      </c>
      <c r="C32">
        <v>949</v>
      </c>
      <c r="D32">
        <f>COUNTIF(Replication!$B$2:$ML$100,C32)</f>
        <v>0</v>
      </c>
      <c r="E32" s="26">
        <f t="shared" si="0"/>
        <v>0</v>
      </c>
      <c r="F32" s="1">
        <f>VLOOKUP(C32,'Raw Data'!$A$1:$L$417,2,FALSE)</f>
        <v>0.86523383294739187</v>
      </c>
      <c r="G32" s="84">
        <f t="shared" si="3"/>
        <v>454.21426891031439</v>
      </c>
      <c r="H32" s="12">
        <f t="shared" si="2"/>
        <v>1</v>
      </c>
      <c r="I32">
        <f t="shared" si="1"/>
        <v>1</v>
      </c>
    </row>
    <row r="33" spans="2:9" x14ac:dyDescent="0.3">
      <c r="B33" s="12">
        <f>VLOOKUP(C33,'Raw Data'!$A$1:$I$417,9,FALSE)</f>
        <v>0</v>
      </c>
      <c r="C33">
        <v>4</v>
      </c>
      <c r="D33">
        <f>COUNTIF(Replication!$B$2:$ML$100,C33)</f>
        <v>0</v>
      </c>
      <c r="E33" s="26">
        <f t="shared" si="0"/>
        <v>0</v>
      </c>
      <c r="F33" s="1">
        <f>VLOOKUP(C33,'Raw Data'!$A$1:$L$417,2,FALSE)</f>
        <v>2.5037188976248204</v>
      </c>
      <c r="G33" s="84">
        <f t="shared" si="3"/>
        <v>454.21426891031439</v>
      </c>
      <c r="H33" s="12">
        <f t="shared" si="2"/>
        <v>0</v>
      </c>
      <c r="I33">
        <f t="shared" si="1"/>
        <v>1</v>
      </c>
    </row>
    <row r="34" spans="2:9" x14ac:dyDescent="0.3">
      <c r="B34" s="12">
        <f>VLOOKUP(C34,'Raw Data'!$A$1:$I$417,9,FALSE)</f>
        <v>1</v>
      </c>
      <c r="C34">
        <v>877</v>
      </c>
      <c r="D34">
        <f>COUNTIF(Replication!$B$2:$ML$100,C34)</f>
        <v>0</v>
      </c>
      <c r="E34" s="26">
        <f t="shared" si="0"/>
        <v>0</v>
      </c>
      <c r="F34" s="1">
        <f>VLOOKUP(C34,'Raw Data'!$A$1:$L$417,2,FALSE)</f>
        <v>1.9237352009658093</v>
      </c>
      <c r="G34" s="84">
        <f t="shared" si="3"/>
        <v>452.29053370934855</v>
      </c>
      <c r="H34" s="12">
        <f t="shared" si="2"/>
        <v>1</v>
      </c>
      <c r="I34">
        <f t="shared" si="1"/>
        <v>1</v>
      </c>
    </row>
    <row r="35" spans="2:9" x14ac:dyDescent="0.3">
      <c r="B35" s="12">
        <f>VLOOKUP(C35,'Raw Data'!$A$1:$I$417,9,FALSE)</f>
        <v>1</v>
      </c>
      <c r="C35">
        <v>865</v>
      </c>
      <c r="D35">
        <f>COUNTIF(Replication!$B$2:$ML$100,C35)</f>
        <v>0</v>
      </c>
      <c r="E35" s="26">
        <f t="shared" si="0"/>
        <v>0</v>
      </c>
      <c r="F35" s="1">
        <f>VLOOKUP(C35,'Raw Data'!$A$1:$L$417,2,FALSE)</f>
        <v>1.1825119775638515</v>
      </c>
      <c r="G35" s="84">
        <f t="shared" si="3"/>
        <v>451.10802173178467</v>
      </c>
      <c r="H35" s="12">
        <f t="shared" si="2"/>
        <v>1</v>
      </c>
      <c r="I35">
        <f t="shared" si="1"/>
        <v>1</v>
      </c>
    </row>
    <row r="36" spans="2:9" x14ac:dyDescent="0.3">
      <c r="B36" s="12">
        <f>VLOOKUP(C36,'Raw Data'!$A$1:$I$417,9,FALSE)</f>
        <v>1</v>
      </c>
      <c r="C36">
        <v>88</v>
      </c>
      <c r="D36">
        <f>COUNTIF(Replication!$B$2:$ML$100,C36)</f>
        <v>0</v>
      </c>
      <c r="E36" s="26">
        <f t="shared" si="0"/>
        <v>0</v>
      </c>
      <c r="F36" s="1">
        <f>VLOOKUP(C36,'Raw Data'!$A$1:$L$417,2,FALSE)</f>
        <v>1.4930828690322018</v>
      </c>
      <c r="G36" s="84">
        <f t="shared" si="3"/>
        <v>449.61493886275247</v>
      </c>
      <c r="H36" s="12">
        <f t="shared" si="2"/>
        <v>1</v>
      </c>
      <c r="I36">
        <f t="shared" si="1"/>
        <v>1</v>
      </c>
    </row>
    <row r="37" spans="2:9" x14ac:dyDescent="0.3">
      <c r="B37" s="12">
        <f>VLOOKUP(C37,'Raw Data'!$A$1:$I$417,9,FALSE)</f>
        <v>1</v>
      </c>
      <c r="C37">
        <v>1044</v>
      </c>
      <c r="D37">
        <f>COUNTIF(Replication!$B$2:$ML$100,C37)</f>
        <v>0</v>
      </c>
      <c r="E37" s="26">
        <f t="shared" si="0"/>
        <v>0</v>
      </c>
      <c r="F37" s="1">
        <f>VLOOKUP(C37,'Raw Data'!$A$1:$L$417,2,FALSE)</f>
        <v>0.5610562758446358</v>
      </c>
      <c r="G37" s="84">
        <f t="shared" si="3"/>
        <v>449.05388258690783</v>
      </c>
      <c r="H37" s="12">
        <f t="shared" si="2"/>
        <v>1</v>
      </c>
      <c r="I37">
        <f t="shared" si="1"/>
        <v>1</v>
      </c>
    </row>
    <row r="38" spans="2:9" x14ac:dyDescent="0.3">
      <c r="B38" s="12">
        <f>VLOOKUP(C38,'Raw Data'!$A$1:$I$417,9,FALSE)</f>
        <v>0</v>
      </c>
      <c r="C38">
        <v>786</v>
      </c>
      <c r="D38">
        <f>COUNTIF(Replication!$B$2:$ML$100,C38)</f>
        <v>0</v>
      </c>
      <c r="E38" s="26">
        <f t="shared" si="0"/>
        <v>0</v>
      </c>
      <c r="F38" s="1">
        <f>VLOOKUP(C38,'Raw Data'!$A$1:$L$417,2,FALSE)</f>
        <v>3.5056946362520494</v>
      </c>
      <c r="G38" s="84">
        <f t="shared" si="3"/>
        <v>449.05388258690783</v>
      </c>
      <c r="H38" s="12">
        <f t="shared" si="2"/>
        <v>0</v>
      </c>
      <c r="I38">
        <f t="shared" si="1"/>
        <v>1</v>
      </c>
    </row>
    <row r="39" spans="2:9" x14ac:dyDescent="0.3">
      <c r="B39" s="12">
        <f>VLOOKUP(C39,'Raw Data'!$A$1:$I$417,9,FALSE)</f>
        <v>0</v>
      </c>
      <c r="C39">
        <v>907</v>
      </c>
      <c r="D39">
        <f>COUNTIF(Replication!$B$2:$ML$100,C39)</f>
        <v>0</v>
      </c>
      <c r="E39" s="26">
        <f t="shared" si="0"/>
        <v>0</v>
      </c>
      <c r="F39" s="1">
        <f>VLOOKUP(C39,'Raw Data'!$A$1:$L$417,2,FALSE)</f>
        <v>2.703574087155304</v>
      </c>
      <c r="G39" s="84">
        <f t="shared" si="3"/>
        <v>449.05388258690783</v>
      </c>
      <c r="H39" s="12">
        <f t="shared" si="2"/>
        <v>0</v>
      </c>
      <c r="I39">
        <f t="shared" si="1"/>
        <v>1</v>
      </c>
    </row>
    <row r="40" spans="2:9" x14ac:dyDescent="0.3">
      <c r="B40" s="12">
        <f>VLOOKUP(C40,'Raw Data'!$A$1:$I$417,9,FALSE)</f>
        <v>1</v>
      </c>
      <c r="C40">
        <v>145</v>
      </c>
      <c r="D40">
        <f>COUNTIF(Replication!$B$2:$ML$100,C40)</f>
        <v>0</v>
      </c>
      <c r="E40" s="26">
        <f t="shared" si="0"/>
        <v>0</v>
      </c>
      <c r="F40" s="1">
        <f>VLOOKUP(C40,'Raw Data'!$A$1:$L$417,2,FALSE)</f>
        <v>0.98081338394395035</v>
      </c>
      <c r="G40" s="84">
        <f t="shared" si="3"/>
        <v>448.07306920296389</v>
      </c>
      <c r="H40" s="12">
        <f t="shared" si="2"/>
        <v>1</v>
      </c>
      <c r="I40">
        <f t="shared" si="1"/>
        <v>1</v>
      </c>
    </row>
    <row r="41" spans="2:9" x14ac:dyDescent="0.3">
      <c r="B41" s="12">
        <f>VLOOKUP(C41,'Raw Data'!$A$1:$I$417,9,FALSE)</f>
        <v>0</v>
      </c>
      <c r="C41">
        <v>822</v>
      </c>
      <c r="D41">
        <f>COUNTIF(Replication!$B$2:$ML$100,C41)</f>
        <v>0</v>
      </c>
      <c r="E41" s="26">
        <f t="shared" si="0"/>
        <v>0</v>
      </c>
      <c r="F41" s="1">
        <f>VLOOKUP(C41,'Raw Data'!$A$1:$L$417,2,FALSE)</f>
        <v>2.8091609471460375</v>
      </c>
      <c r="G41" s="84">
        <f t="shared" si="3"/>
        <v>448.07306920296389</v>
      </c>
      <c r="H41" s="12">
        <f t="shared" si="2"/>
        <v>0</v>
      </c>
      <c r="I41">
        <f t="shared" si="1"/>
        <v>1</v>
      </c>
    </row>
    <row r="42" spans="2:9" x14ac:dyDescent="0.3">
      <c r="B42" s="12">
        <f>VLOOKUP(C42,'Raw Data'!$A$1:$I$417,9,FALSE)</f>
        <v>0</v>
      </c>
      <c r="C42">
        <v>137</v>
      </c>
      <c r="D42">
        <f>COUNTIF(Replication!$B$2:$ML$100,C42)</f>
        <v>0</v>
      </c>
      <c r="E42" s="26">
        <f t="shared" si="0"/>
        <v>0</v>
      </c>
      <c r="F42" s="1">
        <f>VLOOKUP(C42,'Raw Data'!$A$1:$L$417,2,FALSE)</f>
        <v>2.491868862856804</v>
      </c>
      <c r="G42" s="84">
        <f t="shared" si="3"/>
        <v>448.07306920296389</v>
      </c>
      <c r="H42" s="12">
        <f t="shared" si="2"/>
        <v>0</v>
      </c>
      <c r="I42">
        <f t="shared" si="1"/>
        <v>1</v>
      </c>
    </row>
    <row r="43" spans="2:9" x14ac:dyDescent="0.3">
      <c r="B43" s="12">
        <f>VLOOKUP(C43,'Raw Data'!$A$1:$I$417,9,FALSE)</f>
        <v>1</v>
      </c>
      <c r="C43">
        <v>842</v>
      </c>
      <c r="D43">
        <f>COUNTIF(Replication!$B$2:$ML$100,C43)</f>
        <v>0</v>
      </c>
      <c r="E43" s="26">
        <f t="shared" si="0"/>
        <v>0</v>
      </c>
      <c r="F43" s="1">
        <f>VLOOKUP(C43,'Raw Data'!$A$1:$L$417,2,FALSE)</f>
        <v>2.538891127769892</v>
      </c>
      <c r="G43" s="84">
        <f t="shared" si="3"/>
        <v>445.53417807519401</v>
      </c>
      <c r="H43" s="12">
        <f t="shared" si="2"/>
        <v>1</v>
      </c>
      <c r="I43">
        <f t="shared" si="1"/>
        <v>1</v>
      </c>
    </row>
    <row r="44" spans="2:9" x14ac:dyDescent="0.3">
      <c r="B44" s="12">
        <f>VLOOKUP(C44,'Raw Data'!$A$1:$I$417,9,FALSE)</f>
        <v>1</v>
      </c>
      <c r="C44">
        <v>170</v>
      </c>
      <c r="D44">
        <f>COUNTIF(Replication!$B$2:$ML$100,C44)</f>
        <v>0</v>
      </c>
      <c r="E44" s="26">
        <f t="shared" si="0"/>
        <v>0</v>
      </c>
      <c r="F44" s="1">
        <f>VLOOKUP(C44,'Raw Data'!$A$1:$L$417,2,FALSE)</f>
        <v>1.3460155598940049</v>
      </c>
      <c r="G44" s="84">
        <f t="shared" si="3"/>
        <v>444.18816251530001</v>
      </c>
      <c r="H44" s="12">
        <f t="shared" si="2"/>
        <v>1</v>
      </c>
      <c r="I44">
        <f t="shared" si="1"/>
        <v>1</v>
      </c>
    </row>
    <row r="45" spans="2:9" x14ac:dyDescent="0.3">
      <c r="B45" s="12">
        <f>VLOOKUP(C45,'Raw Data'!$A$1:$I$417,9,FALSE)</f>
        <v>1</v>
      </c>
      <c r="C45">
        <v>316</v>
      </c>
      <c r="D45">
        <f>COUNTIF(Replication!$B$2:$ML$100,C45)</f>
        <v>0</v>
      </c>
      <c r="E45" s="26">
        <f t="shared" si="0"/>
        <v>0</v>
      </c>
      <c r="F45" s="1">
        <f>VLOOKUP(C45,'Raw Data'!$A$1:$L$417,2,FALSE)</f>
        <v>2.011601739968516</v>
      </c>
      <c r="G45" s="84">
        <f t="shared" si="3"/>
        <v>442.1765607753315</v>
      </c>
      <c r="H45" s="12">
        <f t="shared" si="2"/>
        <v>1</v>
      </c>
      <c r="I45">
        <f t="shared" si="1"/>
        <v>1</v>
      </c>
    </row>
    <row r="46" spans="2:9" x14ac:dyDescent="0.3">
      <c r="B46" s="12">
        <f>VLOOKUP(C46,'Raw Data'!$A$1:$I$417,9,FALSE)</f>
        <v>1</v>
      </c>
      <c r="C46">
        <v>773</v>
      </c>
      <c r="D46">
        <f>COUNTIF(Replication!$B$2:$ML$100,C46)</f>
        <v>0</v>
      </c>
      <c r="E46" s="26">
        <f t="shared" si="0"/>
        <v>0</v>
      </c>
      <c r="F46" s="1">
        <f>VLOOKUP(C46,'Raw Data'!$A$1:$L$417,2,FALSE)</f>
        <v>1.9363917638227557</v>
      </c>
      <c r="G46" s="84">
        <f t="shared" si="3"/>
        <v>440.24016901150873</v>
      </c>
      <c r="H46" s="12">
        <f t="shared" si="2"/>
        <v>1</v>
      </c>
      <c r="I46">
        <f t="shared" si="1"/>
        <v>1</v>
      </c>
    </row>
    <row r="47" spans="2:9" x14ac:dyDescent="0.3">
      <c r="B47" s="12">
        <f>VLOOKUP(C47,'Raw Data'!$A$1:$I$417,9,FALSE)</f>
        <v>0</v>
      </c>
      <c r="C47">
        <v>952</v>
      </c>
      <c r="D47">
        <f>COUNTIF(Replication!$B$2:$ML$100,C47)</f>
        <v>0</v>
      </c>
      <c r="E47" s="26">
        <f t="shared" si="0"/>
        <v>0</v>
      </c>
      <c r="F47" s="1">
        <f>VLOOKUP(C47,'Raw Data'!$A$1:$L$417,2,FALSE)</f>
        <v>3.7788579468200965</v>
      </c>
      <c r="G47" s="84">
        <f t="shared" si="3"/>
        <v>440.24016901150873</v>
      </c>
      <c r="H47" s="12">
        <f t="shared" si="2"/>
        <v>0</v>
      </c>
      <c r="I47">
        <f t="shared" si="1"/>
        <v>1</v>
      </c>
    </row>
    <row r="48" spans="2:9" x14ac:dyDescent="0.3">
      <c r="B48" s="12">
        <f>VLOOKUP(C48,'Raw Data'!$A$1:$I$417,9,FALSE)</f>
        <v>1</v>
      </c>
      <c r="C48">
        <v>81</v>
      </c>
      <c r="D48">
        <f>COUNTIF(Replication!$B$2:$ML$100,C48)</f>
        <v>0</v>
      </c>
      <c r="E48" s="26">
        <f t="shared" si="0"/>
        <v>0</v>
      </c>
      <c r="F48" s="1">
        <f>VLOOKUP(C48,'Raw Data'!$A$1:$L$417,2,FALSE)</f>
        <v>0.88385762405837398</v>
      </c>
      <c r="G48" s="84">
        <f t="shared" si="3"/>
        <v>439.35631138745038</v>
      </c>
      <c r="H48" s="12">
        <f t="shared" si="2"/>
        <v>1</v>
      </c>
      <c r="I48">
        <f t="shared" si="1"/>
        <v>1</v>
      </c>
    </row>
    <row r="49" spans="2:9" x14ac:dyDescent="0.3">
      <c r="B49" s="12">
        <f>VLOOKUP(C49,'Raw Data'!$A$1:$I$417,9,FALSE)</f>
        <v>0</v>
      </c>
      <c r="C49">
        <v>930</v>
      </c>
      <c r="D49">
        <f>COUNTIF(Replication!$B$2:$ML$100,C49)</f>
        <v>0</v>
      </c>
      <c r="E49" s="26">
        <f t="shared" si="0"/>
        <v>0</v>
      </c>
      <c r="F49" s="1">
        <f>VLOOKUP(C49,'Raw Data'!$A$1:$L$417,2,FALSE)</f>
        <v>2.7549304722085735</v>
      </c>
      <c r="G49" s="84">
        <f t="shared" si="3"/>
        <v>439.35631138745038</v>
      </c>
      <c r="H49" s="12">
        <f t="shared" si="2"/>
        <v>0</v>
      </c>
      <c r="I49">
        <f t="shared" si="1"/>
        <v>1</v>
      </c>
    </row>
    <row r="50" spans="2:9" x14ac:dyDescent="0.3">
      <c r="B50" s="12">
        <f>VLOOKUP(C50,'Raw Data'!$A$1:$I$417,9,FALSE)</f>
        <v>0</v>
      </c>
      <c r="C50">
        <v>227</v>
      </c>
      <c r="D50">
        <f>COUNTIF(Replication!$B$2:$ML$100,C50)</f>
        <v>0</v>
      </c>
      <c r="E50" s="26">
        <f t="shared" si="0"/>
        <v>0</v>
      </c>
      <c r="F50" s="1">
        <f>VLOOKUP(C50,'Raw Data'!$A$1:$L$417,2,FALSE)</f>
        <v>2.3515062762857806</v>
      </c>
      <c r="G50" s="84">
        <f t="shared" si="3"/>
        <v>439.35631138745038</v>
      </c>
      <c r="H50" s="12">
        <f t="shared" si="2"/>
        <v>0</v>
      </c>
      <c r="I50">
        <f t="shared" si="1"/>
        <v>1</v>
      </c>
    </row>
    <row r="51" spans="2:9" x14ac:dyDescent="0.3">
      <c r="B51" s="12">
        <f>VLOOKUP(C51,'Raw Data'!$A$1:$I$417,9,FALSE)</f>
        <v>1</v>
      </c>
      <c r="C51">
        <v>160</v>
      </c>
      <c r="D51">
        <f>COUNTIF(Replication!$B$2:$ML$100,C51)</f>
        <v>0</v>
      </c>
      <c r="E51" s="26">
        <f t="shared" si="0"/>
        <v>0</v>
      </c>
      <c r="F51" s="1">
        <f>VLOOKUP(C51,'Raw Data'!$A$1:$L$417,2,FALSE)</f>
        <v>2.8988993905741078</v>
      </c>
      <c r="G51" s="84">
        <f t="shared" si="3"/>
        <v>436.45741199687626</v>
      </c>
      <c r="H51" s="12">
        <f t="shared" si="2"/>
        <v>1</v>
      </c>
      <c r="I51">
        <f t="shared" si="1"/>
        <v>1</v>
      </c>
    </row>
    <row r="52" spans="2:9" x14ac:dyDescent="0.3">
      <c r="B52" s="12">
        <f>VLOOKUP(C52,'Raw Data'!$A$1:$I$417,9,FALSE)</f>
        <v>1</v>
      </c>
      <c r="C52">
        <v>516</v>
      </c>
      <c r="D52">
        <f>COUNTIF(Replication!$B$2:$ML$100,C52)</f>
        <v>0</v>
      </c>
      <c r="E52" s="26">
        <f t="shared" si="0"/>
        <v>0</v>
      </c>
      <c r="F52" s="1">
        <f>VLOOKUP(C52,'Raw Data'!$A$1:$L$417,2,FALSE)</f>
        <v>2.9214487533555857</v>
      </c>
      <c r="G52" s="84">
        <f t="shared" si="3"/>
        <v>433.53596324352065</v>
      </c>
      <c r="H52" s="12">
        <f t="shared" si="2"/>
        <v>1</v>
      </c>
      <c r="I52">
        <f t="shared" si="1"/>
        <v>1</v>
      </c>
    </row>
    <row r="53" spans="2:9" x14ac:dyDescent="0.3">
      <c r="B53" s="12">
        <f>VLOOKUP(C53,'Raw Data'!$A$1:$I$417,9,FALSE)</f>
        <v>0</v>
      </c>
      <c r="C53">
        <v>383</v>
      </c>
      <c r="D53">
        <f>COUNTIF(Replication!$B$2:$ML$100,C53)</f>
        <v>0</v>
      </c>
      <c r="E53" s="26">
        <f t="shared" si="0"/>
        <v>0</v>
      </c>
      <c r="F53" s="1">
        <f>VLOOKUP(C53,'Raw Data'!$A$1:$L$417,2,FALSE)</f>
        <v>2.8777593324401196</v>
      </c>
      <c r="G53" s="84">
        <f t="shared" si="3"/>
        <v>433.53596324352065</v>
      </c>
      <c r="H53" s="12">
        <f t="shared" si="2"/>
        <v>0</v>
      </c>
      <c r="I53">
        <f t="shared" si="1"/>
        <v>1</v>
      </c>
    </row>
    <row r="54" spans="2:9" x14ac:dyDescent="0.3">
      <c r="B54" s="12">
        <f>VLOOKUP(C54,'Raw Data'!$A$1:$I$417,9,FALSE)</f>
        <v>0</v>
      </c>
      <c r="C54">
        <v>656</v>
      </c>
      <c r="D54">
        <f>COUNTIF(Replication!$B$2:$ML$100,C54)</f>
        <v>0</v>
      </c>
      <c r="E54" s="26">
        <f t="shared" si="0"/>
        <v>0</v>
      </c>
      <c r="F54" s="1">
        <f>VLOOKUP(C54,'Raw Data'!$A$1:$L$417,2,FALSE)</f>
        <v>2.7117146779412584</v>
      </c>
      <c r="G54" s="84">
        <f t="shared" si="3"/>
        <v>433.53596324352065</v>
      </c>
      <c r="H54" s="12">
        <f t="shared" si="2"/>
        <v>0</v>
      </c>
      <c r="I54">
        <f t="shared" si="1"/>
        <v>1</v>
      </c>
    </row>
    <row r="55" spans="2:9" x14ac:dyDescent="0.3">
      <c r="B55" s="12">
        <f>VLOOKUP(C55,'Raw Data'!$A$1:$I$417,9,FALSE)</f>
        <v>1</v>
      </c>
      <c r="C55">
        <v>217</v>
      </c>
      <c r="D55">
        <f>COUNTIF(Replication!$B$2:$ML$100,C55)</f>
        <v>0</v>
      </c>
      <c r="E55" s="26">
        <f t="shared" si="0"/>
        <v>0</v>
      </c>
      <c r="F55" s="1">
        <f>VLOOKUP(C55,'Raw Data'!$A$1:$L$417,2,FALSE)</f>
        <v>3.4400274060550249</v>
      </c>
      <c r="G55" s="84">
        <f t="shared" si="3"/>
        <v>430.09593583746562</v>
      </c>
      <c r="H55" s="12">
        <f t="shared" si="2"/>
        <v>1</v>
      </c>
      <c r="I55">
        <f t="shared" si="1"/>
        <v>1</v>
      </c>
    </row>
    <row r="56" spans="2:9" x14ac:dyDescent="0.3">
      <c r="B56" s="12">
        <f>VLOOKUP(C56,'Raw Data'!$A$1:$I$417,9,FALSE)</f>
        <v>1</v>
      </c>
      <c r="C56">
        <v>1115</v>
      </c>
      <c r="D56">
        <f>COUNTIF(Replication!$B$2:$ML$100,C56)</f>
        <v>0</v>
      </c>
      <c r="E56" s="26">
        <f t="shared" si="0"/>
        <v>0</v>
      </c>
      <c r="F56" s="1">
        <f>VLOOKUP(C56,'Raw Data'!$A$1:$L$417,2,FALSE)</f>
        <v>3.531454338686749</v>
      </c>
      <c r="G56" s="84">
        <f t="shared" si="3"/>
        <v>426.56448149877889</v>
      </c>
      <c r="H56" s="12">
        <f t="shared" si="2"/>
        <v>1</v>
      </c>
      <c r="I56">
        <f t="shared" si="1"/>
        <v>1</v>
      </c>
    </row>
    <row r="57" spans="2:9" x14ac:dyDescent="0.3">
      <c r="B57" s="12">
        <f>VLOOKUP(C57,'Raw Data'!$A$1:$I$417,9,FALSE)</f>
        <v>0</v>
      </c>
      <c r="C57">
        <v>804</v>
      </c>
      <c r="D57">
        <f>COUNTIF(Replication!$B$2:$ML$100,C57)</f>
        <v>0</v>
      </c>
      <c r="E57" s="26">
        <f t="shared" si="0"/>
        <v>0</v>
      </c>
      <c r="F57" s="1">
        <f>VLOOKUP(C57,'Raw Data'!$A$1:$L$417,2,FALSE)</f>
        <v>1.3612456493786462</v>
      </c>
      <c r="G57" s="84">
        <f t="shared" si="3"/>
        <v>426.56448149877889</v>
      </c>
      <c r="H57" s="12">
        <f t="shared" si="2"/>
        <v>0</v>
      </c>
      <c r="I57">
        <f t="shared" si="1"/>
        <v>1</v>
      </c>
    </row>
    <row r="58" spans="2:9" x14ac:dyDescent="0.3">
      <c r="B58" s="12">
        <f>VLOOKUP(C58,'Raw Data'!$A$1:$I$417,9,FALSE)</f>
        <v>1</v>
      </c>
      <c r="C58">
        <v>948</v>
      </c>
      <c r="D58">
        <f>COUNTIF(Replication!$B$2:$ML$100,C58)</f>
        <v>0</v>
      </c>
      <c r="E58" s="26">
        <f t="shared" si="0"/>
        <v>0</v>
      </c>
      <c r="F58" s="1">
        <f>VLOOKUP(C58,'Raw Data'!$A$1:$L$417,2,FALSE)</f>
        <v>2.5989597031659271</v>
      </c>
      <c r="G58" s="84">
        <f t="shared" si="3"/>
        <v>423.96552179561297</v>
      </c>
      <c r="H58" s="12">
        <f t="shared" si="2"/>
        <v>1</v>
      </c>
      <c r="I58">
        <f t="shared" si="1"/>
        <v>1</v>
      </c>
    </row>
    <row r="59" spans="2:9" x14ac:dyDescent="0.3">
      <c r="B59" s="12">
        <f>VLOOKUP(C59,'Raw Data'!$A$1:$I$417,9,FALSE)</f>
        <v>0</v>
      </c>
      <c r="C59">
        <v>693</v>
      </c>
      <c r="D59">
        <f>COUNTIF(Replication!$B$2:$ML$100,C59)</f>
        <v>0</v>
      </c>
      <c r="E59" s="26">
        <f t="shared" si="0"/>
        <v>0</v>
      </c>
      <c r="F59" s="1">
        <f>VLOOKUP(C59,'Raw Data'!$A$1:$L$417,2,FALSE)</f>
        <v>2.9255186929531085</v>
      </c>
      <c r="G59" s="84">
        <f t="shared" si="3"/>
        <v>423.96552179561297</v>
      </c>
      <c r="H59" s="12">
        <f t="shared" si="2"/>
        <v>0</v>
      </c>
      <c r="I59">
        <f t="shared" si="1"/>
        <v>1</v>
      </c>
    </row>
    <row r="60" spans="2:9" x14ac:dyDescent="0.3">
      <c r="B60" s="12">
        <f>VLOOKUP(C60,'Raw Data'!$A$1:$I$417,9,FALSE)</f>
        <v>1</v>
      </c>
      <c r="C60">
        <v>388</v>
      </c>
      <c r="D60">
        <f>COUNTIF(Replication!$B$2:$ML$100,C60)</f>
        <v>0</v>
      </c>
      <c r="E60" s="26">
        <f t="shared" si="0"/>
        <v>0</v>
      </c>
      <c r="F60" s="1">
        <f>VLOOKUP(C60,'Raw Data'!$A$1:$L$417,2,FALSE)</f>
        <v>2.2519792294119734</v>
      </c>
      <c r="G60" s="84">
        <f t="shared" si="3"/>
        <v>421.713542566201</v>
      </c>
      <c r="H60" s="12">
        <f t="shared" si="2"/>
        <v>1</v>
      </c>
      <c r="I60">
        <f t="shared" si="1"/>
        <v>1</v>
      </c>
    </row>
    <row r="61" spans="2:9" x14ac:dyDescent="0.3">
      <c r="B61" s="12">
        <f>VLOOKUP(C61,'Raw Data'!$A$1:$I$417,9,FALSE)</f>
        <v>0</v>
      </c>
      <c r="C61">
        <v>870</v>
      </c>
      <c r="D61">
        <f>COUNTIF(Replication!$B$2:$ML$100,C61)</f>
        <v>0</v>
      </c>
      <c r="E61" s="26">
        <f t="shared" si="0"/>
        <v>0</v>
      </c>
      <c r="F61" s="1">
        <f>VLOOKUP(C61,'Raw Data'!$A$1:$L$417,2,FALSE)</f>
        <v>2.8777593324401196</v>
      </c>
      <c r="G61" s="84">
        <f t="shared" si="3"/>
        <v>421.713542566201</v>
      </c>
      <c r="H61" s="12">
        <f t="shared" si="2"/>
        <v>0</v>
      </c>
      <c r="I61">
        <f t="shared" si="1"/>
        <v>1</v>
      </c>
    </row>
    <row r="62" spans="2:9" x14ac:dyDescent="0.3">
      <c r="B62" s="12">
        <f>VLOOKUP(C62,'Raw Data'!$A$1:$I$417,9,FALSE)</f>
        <v>1</v>
      </c>
      <c r="C62">
        <v>91</v>
      </c>
      <c r="D62">
        <f>COUNTIF(Replication!$B$2:$ML$100,C62)</f>
        <v>0</v>
      </c>
      <c r="E62" s="26">
        <f t="shared" si="0"/>
        <v>0</v>
      </c>
      <c r="F62" s="1">
        <f>VLOOKUP(C62,'Raw Data'!$A$1:$L$417,2,FALSE)</f>
        <v>0.33735976863779937</v>
      </c>
      <c r="G62" s="84">
        <f t="shared" si="3"/>
        <v>421.37618279756322</v>
      </c>
      <c r="H62" s="12">
        <f t="shared" si="2"/>
        <v>1</v>
      </c>
      <c r="I62">
        <f t="shared" si="1"/>
        <v>1</v>
      </c>
    </row>
    <row r="63" spans="2:9" x14ac:dyDescent="0.3">
      <c r="B63" s="12">
        <f>VLOOKUP(C63,'Raw Data'!$A$1:$I$417,9,FALSE)</f>
        <v>1</v>
      </c>
      <c r="C63">
        <v>543</v>
      </c>
      <c r="D63">
        <f>COUNTIF(Replication!$B$2:$ML$100,C63)</f>
        <v>0</v>
      </c>
      <c r="E63" s="26">
        <f t="shared" si="0"/>
        <v>0</v>
      </c>
      <c r="F63" s="1">
        <f>VLOOKUP(C63,'Raw Data'!$A$1:$L$417,2,FALSE)</f>
        <v>2.6990095804642378</v>
      </c>
      <c r="G63" s="84">
        <f t="shared" si="3"/>
        <v>418.67717321709898</v>
      </c>
      <c r="H63" s="12">
        <f t="shared" si="2"/>
        <v>1</v>
      </c>
      <c r="I63">
        <f t="shared" si="1"/>
        <v>1</v>
      </c>
    </row>
    <row r="64" spans="2:9" x14ac:dyDescent="0.3">
      <c r="B64" s="12">
        <f>VLOOKUP(C64,'Raw Data'!$A$1:$I$417,9,FALSE)</f>
        <v>0</v>
      </c>
      <c r="C64">
        <v>1091</v>
      </c>
      <c r="D64">
        <f>COUNTIF(Replication!$B$2:$ML$100,C64)</f>
        <v>0</v>
      </c>
      <c r="E64" s="26">
        <f t="shared" si="0"/>
        <v>0</v>
      </c>
      <c r="F64" s="1">
        <f>VLOOKUP(C64,'Raw Data'!$A$1:$L$417,2,FALSE)</f>
        <v>0.92553085588797601</v>
      </c>
      <c r="G64" s="84">
        <f t="shared" si="3"/>
        <v>418.67717321709898</v>
      </c>
      <c r="H64" s="12">
        <f t="shared" si="2"/>
        <v>0</v>
      </c>
      <c r="I64">
        <f t="shared" si="1"/>
        <v>1</v>
      </c>
    </row>
    <row r="65" spans="2:9" x14ac:dyDescent="0.3">
      <c r="B65" s="12">
        <f>VLOOKUP(C65,'Raw Data'!$A$1:$I$417,9,FALSE)</f>
        <v>0</v>
      </c>
      <c r="C65">
        <v>530</v>
      </c>
      <c r="D65">
        <f>COUNTIF(Replication!$B$2:$ML$100,C65)</f>
        <v>0</v>
      </c>
      <c r="E65" s="26">
        <f t="shared" si="0"/>
        <v>0</v>
      </c>
      <c r="F65" s="1">
        <f>VLOOKUP(C65,'Raw Data'!$A$1:$L$417,2,FALSE)</f>
        <v>2.5313910301294964</v>
      </c>
      <c r="G65" s="84">
        <f t="shared" si="3"/>
        <v>418.67717321709898</v>
      </c>
      <c r="H65" s="12">
        <f t="shared" si="2"/>
        <v>0</v>
      </c>
      <c r="I65">
        <f t="shared" si="1"/>
        <v>1</v>
      </c>
    </row>
    <row r="66" spans="2:9" x14ac:dyDescent="0.3">
      <c r="B66" s="12">
        <f>VLOOKUP(C66,'Raw Data'!$A$1:$I$417,9,FALSE)</f>
        <v>1</v>
      </c>
      <c r="C66">
        <v>337</v>
      </c>
      <c r="D66">
        <f>COUNTIF(Replication!$B$2:$ML$100,C66)</f>
        <v>0</v>
      </c>
      <c r="E66" s="26">
        <f t="shared" ref="E66:E129" si="4">D66/50</f>
        <v>0</v>
      </c>
      <c r="F66" s="1">
        <f>VLOOKUP(C66,'Raw Data'!$A$1:$L$417,2,FALSE)</f>
        <v>3.0287516653143696</v>
      </c>
      <c r="G66" s="84">
        <f t="shared" si="3"/>
        <v>415.64842155178462</v>
      </c>
      <c r="H66" s="12">
        <f t="shared" si="2"/>
        <v>1</v>
      </c>
      <c r="I66">
        <f t="shared" ref="I66:I129" si="5">IF(H66=B66,1,0)</f>
        <v>1</v>
      </c>
    </row>
    <row r="67" spans="2:9" x14ac:dyDescent="0.3">
      <c r="B67" s="12">
        <f>VLOOKUP(C67,'Raw Data'!$A$1:$I$417,9,FALSE)</f>
        <v>1</v>
      </c>
      <c r="C67">
        <v>970</v>
      </c>
      <c r="D67">
        <f>COUNTIF(Replication!$B$2:$ML$100,C67)</f>
        <v>0</v>
      </c>
      <c r="E67" s="26">
        <f t="shared" si="4"/>
        <v>0</v>
      </c>
      <c r="F67" s="1">
        <f>VLOOKUP(C67,'Raw Data'!$A$1:$L$417,2,FALSE)</f>
        <v>2.1551925975341222</v>
      </c>
      <c r="G67" s="84">
        <f t="shared" si="3"/>
        <v>413.49322895425053</v>
      </c>
      <c r="H67" s="12">
        <f t="shared" ref="H67:H130" si="6">IF(G67&gt;0,IF(B67&gt;0,1,0),0)</f>
        <v>1</v>
      </c>
      <c r="I67">
        <f t="shared" si="5"/>
        <v>1</v>
      </c>
    </row>
    <row r="68" spans="2:9" x14ac:dyDescent="0.3">
      <c r="B68" s="12">
        <f>VLOOKUP(C68,'Raw Data'!$A$1:$I$417,9,FALSE)</f>
        <v>1</v>
      </c>
      <c r="C68">
        <v>881</v>
      </c>
      <c r="D68">
        <f>COUNTIF(Replication!$B$2:$ML$100,C68)</f>
        <v>0</v>
      </c>
      <c r="E68" s="26">
        <f t="shared" si="4"/>
        <v>0</v>
      </c>
      <c r="F68" s="1">
        <f>VLOOKUP(C68,'Raw Data'!$A$1:$L$417,2,FALSE)</f>
        <v>2.0578832456965057</v>
      </c>
      <c r="G68" s="84">
        <f t="shared" ref="G68:G131" si="7">IF(B68&gt;0,G67-F68,G67)</f>
        <v>411.435345708554</v>
      </c>
      <c r="H68" s="12">
        <f t="shared" si="6"/>
        <v>1</v>
      </c>
      <c r="I68">
        <f t="shared" si="5"/>
        <v>1</v>
      </c>
    </row>
    <row r="69" spans="2:9" x14ac:dyDescent="0.3">
      <c r="B69" s="12">
        <f>VLOOKUP(C69,'Raw Data'!$A$1:$I$417,9,FALSE)</f>
        <v>1</v>
      </c>
      <c r="C69">
        <v>476</v>
      </c>
      <c r="D69">
        <f>COUNTIF(Replication!$B$2:$ML$100,C69)</f>
        <v>0</v>
      </c>
      <c r="E69" s="26">
        <f t="shared" si="4"/>
        <v>0</v>
      </c>
      <c r="F69" s="1">
        <f>VLOOKUP(C69,'Raw Data'!$A$1:$L$417,2,FALSE)</f>
        <v>3.4385573789594392</v>
      </c>
      <c r="G69" s="84">
        <f t="shared" si="7"/>
        <v>407.99678832959455</v>
      </c>
      <c r="H69" s="12">
        <f t="shared" si="6"/>
        <v>1</v>
      </c>
      <c r="I69">
        <f t="shared" si="5"/>
        <v>1</v>
      </c>
    </row>
    <row r="70" spans="2:9" x14ac:dyDescent="0.3">
      <c r="B70" s="12">
        <f>VLOOKUP(C70,'Raw Data'!$A$1:$I$417,9,FALSE)</f>
        <v>1</v>
      </c>
      <c r="C70">
        <v>253</v>
      </c>
      <c r="D70">
        <f>COUNTIF(Replication!$B$2:$ML$100,C70)</f>
        <v>0</v>
      </c>
      <c r="E70" s="26">
        <f t="shared" si="4"/>
        <v>0</v>
      </c>
      <c r="F70" s="1">
        <f>VLOOKUP(C70,'Raw Data'!$A$1:$L$417,2,FALSE)</f>
        <v>4.7482068305568248</v>
      </c>
      <c r="G70" s="84">
        <f t="shared" si="7"/>
        <v>403.24858149903775</v>
      </c>
      <c r="H70" s="12">
        <f t="shared" si="6"/>
        <v>1</v>
      </c>
      <c r="I70">
        <f t="shared" si="5"/>
        <v>1</v>
      </c>
    </row>
    <row r="71" spans="2:9" x14ac:dyDescent="0.3">
      <c r="B71" s="12">
        <f>VLOOKUP(C71,'Raw Data'!$A$1:$I$417,9,FALSE)</f>
        <v>1</v>
      </c>
      <c r="C71">
        <v>648</v>
      </c>
      <c r="D71">
        <f>COUNTIF(Replication!$B$2:$ML$100,C71)</f>
        <v>0</v>
      </c>
      <c r="E71" s="26">
        <f t="shared" si="4"/>
        <v>0</v>
      </c>
      <c r="F71" s="1">
        <f>VLOOKUP(C71,'Raw Data'!$A$1:$L$417,2,FALSE)</f>
        <v>2.6131679459326316</v>
      </c>
      <c r="G71" s="84">
        <f t="shared" si="7"/>
        <v>400.63541355310514</v>
      </c>
      <c r="H71" s="12">
        <f t="shared" si="6"/>
        <v>1</v>
      </c>
      <c r="I71">
        <f t="shared" si="5"/>
        <v>1</v>
      </c>
    </row>
    <row r="72" spans="2:9" x14ac:dyDescent="0.3">
      <c r="B72" s="12">
        <f>VLOOKUP(C72,'Raw Data'!$A$1:$I$417,9,FALSE)</f>
        <v>0</v>
      </c>
      <c r="C72">
        <v>219</v>
      </c>
      <c r="D72">
        <f>COUNTIF(Replication!$B$2:$ML$100,C72)</f>
        <v>0</v>
      </c>
      <c r="E72" s="26">
        <f t="shared" si="4"/>
        <v>0</v>
      </c>
      <c r="F72" s="1">
        <f>VLOOKUP(C72,'Raw Data'!$A$1:$L$417,2,FALSE)</f>
        <v>3.2301307779373345</v>
      </c>
      <c r="G72" s="84">
        <f t="shared" si="7"/>
        <v>400.63541355310514</v>
      </c>
      <c r="H72" s="12">
        <f t="shared" si="6"/>
        <v>0</v>
      </c>
      <c r="I72">
        <f t="shared" si="5"/>
        <v>1</v>
      </c>
    </row>
    <row r="73" spans="2:9" x14ac:dyDescent="0.3">
      <c r="B73" s="12">
        <f>VLOOKUP(C73,'Raw Data'!$A$1:$I$417,9,FALSE)</f>
        <v>0</v>
      </c>
      <c r="C73">
        <v>581</v>
      </c>
      <c r="D73">
        <f>COUNTIF(Replication!$B$2:$ML$100,C73)</f>
        <v>0</v>
      </c>
      <c r="E73" s="26">
        <f t="shared" si="4"/>
        <v>0</v>
      </c>
      <c r="F73" s="1">
        <f>VLOOKUP(C73,'Raw Data'!$A$1:$L$417,2,FALSE)</f>
        <v>1.4930828690322018</v>
      </c>
      <c r="G73" s="84">
        <f t="shared" si="7"/>
        <v>400.63541355310514</v>
      </c>
      <c r="H73" s="12">
        <f t="shared" si="6"/>
        <v>0</v>
      </c>
      <c r="I73">
        <f t="shared" si="5"/>
        <v>1</v>
      </c>
    </row>
    <row r="74" spans="2:9" x14ac:dyDescent="0.3">
      <c r="B74" s="12">
        <f>VLOOKUP(C74,'Raw Data'!$A$1:$I$417,9,FALSE)</f>
        <v>0</v>
      </c>
      <c r="C74">
        <v>987</v>
      </c>
      <c r="D74">
        <f>COUNTIF(Replication!$B$2:$ML$100,C74)</f>
        <v>0</v>
      </c>
      <c r="E74" s="26">
        <f t="shared" si="4"/>
        <v>0</v>
      </c>
      <c r="F74" s="1">
        <f>VLOOKUP(C74,'Raw Data'!$A$1:$L$417,2,FALSE)</f>
        <v>1.3756345586301699</v>
      </c>
      <c r="G74" s="84">
        <f t="shared" si="7"/>
        <v>400.63541355310514</v>
      </c>
      <c r="H74" s="12">
        <f t="shared" si="6"/>
        <v>0</v>
      </c>
      <c r="I74">
        <f t="shared" si="5"/>
        <v>1</v>
      </c>
    </row>
    <row r="75" spans="2:9" x14ac:dyDescent="0.3">
      <c r="B75" s="12">
        <f>VLOOKUP(C75,'Raw Data'!$A$1:$I$417,9,FALSE)</f>
        <v>1</v>
      </c>
      <c r="C75">
        <v>531</v>
      </c>
      <c r="D75">
        <f>COUNTIF(Replication!$B$2:$ML$100,C75)</f>
        <v>0</v>
      </c>
      <c r="E75" s="26">
        <f t="shared" si="4"/>
        <v>0</v>
      </c>
      <c r="F75" s="1">
        <f>VLOOKUP(C75,'Raw Data'!$A$1:$L$417,2,FALSE)</f>
        <v>2.3230111253359453</v>
      </c>
      <c r="G75" s="84">
        <f t="shared" si="7"/>
        <v>398.3124024277692</v>
      </c>
      <c r="H75" s="12">
        <f t="shared" si="6"/>
        <v>1</v>
      </c>
      <c r="I75">
        <f t="shared" si="5"/>
        <v>1</v>
      </c>
    </row>
    <row r="76" spans="2:9" x14ac:dyDescent="0.3">
      <c r="B76" s="12">
        <f>VLOOKUP(C76,'Raw Data'!$A$1:$I$417,9,FALSE)</f>
        <v>0</v>
      </c>
      <c r="C76">
        <v>699</v>
      </c>
      <c r="D76">
        <f>COUNTIF(Replication!$B$2:$ML$100,C76)</f>
        <v>0</v>
      </c>
      <c r="E76" s="26">
        <f t="shared" si="4"/>
        <v>0</v>
      </c>
      <c r="F76" s="1">
        <f>VLOOKUP(C76,'Raw Data'!$A$1:$L$417,2,FALSE)</f>
        <v>1.6246667550754856</v>
      </c>
      <c r="G76" s="84">
        <f t="shared" si="7"/>
        <v>398.3124024277692</v>
      </c>
      <c r="H76" s="12">
        <f t="shared" si="6"/>
        <v>0</v>
      </c>
      <c r="I76">
        <f t="shared" si="5"/>
        <v>1</v>
      </c>
    </row>
    <row r="77" spans="2:9" x14ac:dyDescent="0.3">
      <c r="B77" s="12">
        <f>VLOOKUP(C77,'Raw Data'!$A$1:$I$417,9,FALSE)</f>
        <v>0</v>
      </c>
      <c r="C77">
        <v>498</v>
      </c>
      <c r="D77">
        <f>COUNTIF(Replication!$B$2:$ML$100,C77)</f>
        <v>0</v>
      </c>
      <c r="E77" s="26">
        <f t="shared" si="4"/>
        <v>0</v>
      </c>
      <c r="F77" s="1">
        <f>VLOOKUP(C77,'Raw Data'!$A$1:$L$417,2,FALSE)</f>
        <v>1.9104088844112177</v>
      </c>
      <c r="G77" s="84">
        <f t="shared" si="7"/>
        <v>398.3124024277692</v>
      </c>
      <c r="H77" s="12">
        <f t="shared" si="6"/>
        <v>0</v>
      </c>
      <c r="I77">
        <f t="shared" si="5"/>
        <v>1</v>
      </c>
    </row>
    <row r="78" spans="2:9" x14ac:dyDescent="0.3">
      <c r="B78" s="12">
        <f>VLOOKUP(C78,'Raw Data'!$A$1:$I$417,9,FALSE)</f>
        <v>1</v>
      </c>
      <c r="C78">
        <v>536</v>
      </c>
      <c r="D78">
        <f>COUNTIF(Replication!$B$2:$ML$100,C78)</f>
        <v>0</v>
      </c>
      <c r="E78" s="26">
        <f t="shared" si="4"/>
        <v>0</v>
      </c>
      <c r="F78" s="1">
        <f>VLOOKUP(C78,'Raw Data'!$A$1:$L$417,2,FALSE)</f>
        <v>3.2945405279487461</v>
      </c>
      <c r="G78" s="84">
        <f t="shared" si="7"/>
        <v>395.01786189982045</v>
      </c>
      <c r="H78" s="12">
        <f t="shared" si="6"/>
        <v>1</v>
      </c>
      <c r="I78">
        <f t="shared" si="5"/>
        <v>1</v>
      </c>
    </row>
    <row r="79" spans="2:9" x14ac:dyDescent="0.3">
      <c r="B79" s="12">
        <f>VLOOKUP(C79,'Raw Data'!$A$1:$I$417,9,FALSE)</f>
        <v>1</v>
      </c>
      <c r="C79">
        <v>318</v>
      </c>
      <c r="D79">
        <f>COUNTIF(Replication!$B$2:$ML$100,C79)</f>
        <v>0</v>
      </c>
      <c r="E79" s="26">
        <f t="shared" si="4"/>
        <v>0</v>
      </c>
      <c r="F79" s="1">
        <f>VLOOKUP(C79,'Raw Data'!$A$1:$L$417,2,FALSE)</f>
        <v>3.3418678268241009</v>
      </c>
      <c r="G79" s="84">
        <f t="shared" si="7"/>
        <v>391.67599407299633</v>
      </c>
      <c r="H79" s="12">
        <f t="shared" si="6"/>
        <v>1</v>
      </c>
      <c r="I79">
        <f t="shared" si="5"/>
        <v>1</v>
      </c>
    </row>
    <row r="80" spans="2:9" x14ac:dyDescent="0.3">
      <c r="B80" s="12">
        <f>VLOOKUP(C80,'Raw Data'!$A$1:$I$417,9,FALSE)</f>
        <v>1</v>
      </c>
      <c r="C80">
        <v>131</v>
      </c>
      <c r="D80">
        <f>COUNTIF(Replication!$B$2:$ML$100,C80)</f>
        <v>0</v>
      </c>
      <c r="E80" s="26">
        <f t="shared" si="4"/>
        <v>0</v>
      </c>
      <c r="F80" s="1">
        <f>VLOOKUP(C80,'Raw Data'!$A$1:$L$417,2,FALSE)</f>
        <v>2.0023713218743779</v>
      </c>
      <c r="G80" s="84">
        <f t="shared" si="7"/>
        <v>389.67362275112197</v>
      </c>
      <c r="H80" s="12">
        <f t="shared" si="6"/>
        <v>1</v>
      </c>
      <c r="I80">
        <f t="shared" si="5"/>
        <v>1</v>
      </c>
    </row>
    <row r="81" spans="2:9" x14ac:dyDescent="0.3">
      <c r="B81" s="12">
        <f>VLOOKUP(C81,'Raw Data'!$A$1:$I$417,9,FALSE)</f>
        <v>0</v>
      </c>
      <c r="C81">
        <v>926</v>
      </c>
      <c r="D81">
        <f>COUNTIF(Replication!$B$2:$ML$100,C81)</f>
        <v>0</v>
      </c>
      <c r="E81" s="26">
        <f t="shared" si="4"/>
        <v>0</v>
      </c>
      <c r="F81" s="1">
        <f>VLOOKUP(C81,'Raw Data'!$A$1:$L$417,2,FALSE)</f>
        <v>2.7713869129557747</v>
      </c>
      <c r="G81" s="84">
        <f t="shared" si="7"/>
        <v>389.67362275112197</v>
      </c>
      <c r="H81" s="12">
        <f t="shared" si="6"/>
        <v>0</v>
      </c>
      <c r="I81">
        <f t="shared" si="5"/>
        <v>1</v>
      </c>
    </row>
    <row r="82" spans="2:9" x14ac:dyDescent="0.3">
      <c r="B82" s="12">
        <f>VLOOKUP(C82,'Raw Data'!$A$1:$I$417,9,FALSE)</f>
        <v>1</v>
      </c>
      <c r="C82">
        <v>1087</v>
      </c>
      <c r="D82">
        <f>COUNTIF(Replication!$B$2:$ML$100,C82)</f>
        <v>0</v>
      </c>
      <c r="E82" s="26">
        <f t="shared" si="4"/>
        <v>0</v>
      </c>
      <c r="F82" s="1">
        <f>VLOOKUP(C82,'Raw Data'!$A$1:$L$417,2,FALSE)</f>
        <v>1.5783199717317542</v>
      </c>
      <c r="G82" s="84">
        <f t="shared" si="7"/>
        <v>388.09530277939024</v>
      </c>
      <c r="H82" s="12">
        <f t="shared" si="6"/>
        <v>1</v>
      </c>
      <c r="I82">
        <f t="shared" si="5"/>
        <v>1</v>
      </c>
    </row>
    <row r="83" spans="2:9" x14ac:dyDescent="0.3">
      <c r="B83" s="12">
        <f>VLOOKUP(C83,'Raw Data'!$A$1:$I$417,9,FALSE)</f>
        <v>1</v>
      </c>
      <c r="C83">
        <v>142</v>
      </c>
      <c r="D83">
        <f>COUNTIF(Replication!$B$2:$ML$100,C83)</f>
        <v>0</v>
      </c>
      <c r="E83" s="26">
        <f t="shared" si="4"/>
        <v>0</v>
      </c>
      <c r="F83" s="1">
        <f>VLOOKUP(C83,'Raw Data'!$A$1:$L$417,2,FALSE)</f>
        <v>2.4528443145587877</v>
      </c>
      <c r="G83" s="84">
        <f t="shared" si="7"/>
        <v>385.64245846483146</v>
      </c>
      <c r="H83" s="12">
        <f t="shared" si="6"/>
        <v>1</v>
      </c>
      <c r="I83">
        <f t="shared" si="5"/>
        <v>1</v>
      </c>
    </row>
    <row r="84" spans="2:9" x14ac:dyDescent="0.3">
      <c r="B84" s="12">
        <f>VLOOKUP(C84,'Raw Data'!$A$1:$I$417,9,FALSE)</f>
        <v>1</v>
      </c>
      <c r="C84">
        <v>850</v>
      </c>
      <c r="D84">
        <f>COUNTIF(Replication!$B$2:$ML$100,C84)</f>
        <v>0</v>
      </c>
      <c r="E84" s="26">
        <f t="shared" si="4"/>
        <v>0</v>
      </c>
      <c r="F84" s="1">
        <f>VLOOKUP(C84,'Raw Data'!$A$1:$L$417,2,FALSE)</f>
        <v>4.0757995580193445</v>
      </c>
      <c r="G84" s="84">
        <f t="shared" si="7"/>
        <v>381.56665890681211</v>
      </c>
      <c r="H84" s="12">
        <f t="shared" si="6"/>
        <v>1</v>
      </c>
      <c r="I84">
        <f t="shared" si="5"/>
        <v>1</v>
      </c>
    </row>
    <row r="85" spans="2:9" x14ac:dyDescent="0.3">
      <c r="B85" s="12">
        <f>VLOOKUP(C85,'Raw Data'!$A$1:$I$417,9,FALSE)</f>
        <v>1</v>
      </c>
      <c r="C85">
        <v>1082</v>
      </c>
      <c r="D85">
        <f>COUNTIF(Replication!$B$2:$ML$100,C85)</f>
        <v>0</v>
      </c>
      <c r="E85" s="26">
        <f t="shared" si="4"/>
        <v>0</v>
      </c>
      <c r="F85" s="1">
        <f>VLOOKUP(C85,'Raw Data'!$A$1:$L$417,2,FALSE)</f>
        <v>1.729068767856885</v>
      </c>
      <c r="G85" s="84">
        <f t="shared" si="7"/>
        <v>379.83759013895525</v>
      </c>
      <c r="H85" s="12">
        <f t="shared" si="6"/>
        <v>1</v>
      </c>
      <c r="I85">
        <f t="shared" si="5"/>
        <v>1</v>
      </c>
    </row>
    <row r="86" spans="2:9" x14ac:dyDescent="0.3">
      <c r="B86" s="12">
        <f>VLOOKUP(C86,'Raw Data'!$A$1:$I$417,9,FALSE)</f>
        <v>0</v>
      </c>
      <c r="C86">
        <v>330</v>
      </c>
      <c r="D86">
        <f>COUNTIF(Replication!$B$2:$ML$100,C86)</f>
        <v>0</v>
      </c>
      <c r="E86" s="26">
        <f t="shared" si="4"/>
        <v>0</v>
      </c>
      <c r="F86" s="1">
        <f>VLOOKUP(C86,'Raw Data'!$A$1:$L$417,2,FALSE)</f>
        <v>3.0274886309987448</v>
      </c>
      <c r="G86" s="84">
        <f t="shared" si="7"/>
        <v>379.83759013895525</v>
      </c>
      <c r="H86" s="12">
        <f t="shared" si="6"/>
        <v>0</v>
      </c>
      <c r="I86">
        <f t="shared" si="5"/>
        <v>1</v>
      </c>
    </row>
    <row r="87" spans="2:9" x14ac:dyDescent="0.3">
      <c r="B87" s="12">
        <f>VLOOKUP(C87,'Raw Data'!$A$1:$I$417,9,FALSE)</f>
        <v>1</v>
      </c>
      <c r="C87">
        <v>75</v>
      </c>
      <c r="D87">
        <f>COUNTIF(Replication!$B$2:$ML$100,C87)</f>
        <v>0</v>
      </c>
      <c r="E87" s="26">
        <f t="shared" si="4"/>
        <v>0</v>
      </c>
      <c r="F87" s="1">
        <f>VLOOKUP(C87,'Raw Data'!$A$1:$L$417,2,FALSE)</f>
        <v>2.9621946476247829</v>
      </c>
      <c r="G87" s="84">
        <f t="shared" si="7"/>
        <v>376.87539549133049</v>
      </c>
      <c r="H87" s="12">
        <f t="shared" si="6"/>
        <v>1</v>
      </c>
      <c r="I87">
        <f t="shared" si="5"/>
        <v>1</v>
      </c>
    </row>
    <row r="88" spans="2:9" x14ac:dyDescent="0.3">
      <c r="B88" s="12">
        <f>VLOOKUP(C88,'Raw Data'!$A$1:$I$417,9,FALSE)</f>
        <v>1</v>
      </c>
      <c r="C88">
        <v>911</v>
      </c>
      <c r="D88">
        <f>COUNTIF(Replication!$B$2:$ML$100,C88)</f>
        <v>0</v>
      </c>
      <c r="E88" s="26">
        <f t="shared" si="4"/>
        <v>0</v>
      </c>
      <c r="F88" s="1">
        <f>VLOOKUP(C88,'Raw Data'!$A$1:$L$417,2,FALSE)</f>
        <v>1.9335633747787351</v>
      </c>
      <c r="G88" s="84">
        <f t="shared" si="7"/>
        <v>374.94183211655178</v>
      </c>
      <c r="H88" s="12">
        <f t="shared" si="6"/>
        <v>1</v>
      </c>
      <c r="I88">
        <f t="shared" si="5"/>
        <v>1</v>
      </c>
    </row>
    <row r="89" spans="2:9" x14ac:dyDescent="0.3">
      <c r="B89" s="12">
        <f>VLOOKUP(C89,'Raw Data'!$A$1:$I$417,9,FALSE)</f>
        <v>1</v>
      </c>
      <c r="C89">
        <v>902</v>
      </c>
      <c r="D89">
        <f>COUNTIF(Replication!$B$2:$ML$100,C89)</f>
        <v>0</v>
      </c>
      <c r="E89" s="26">
        <f t="shared" si="4"/>
        <v>0</v>
      </c>
      <c r="F89" s="1">
        <f>VLOOKUP(C89,'Raw Data'!$A$1:$L$417,2,FALSE)</f>
        <v>3.2951711710406908</v>
      </c>
      <c r="G89" s="84">
        <f t="shared" si="7"/>
        <v>371.64666094551109</v>
      </c>
      <c r="H89" s="12">
        <f t="shared" si="6"/>
        <v>1</v>
      </c>
      <c r="I89">
        <f t="shared" si="5"/>
        <v>1</v>
      </c>
    </row>
    <row r="90" spans="2:9" x14ac:dyDescent="0.3">
      <c r="B90" s="12">
        <f>VLOOKUP(C90,'Raw Data'!$A$1:$I$417,9,FALSE)</f>
        <v>1</v>
      </c>
      <c r="C90">
        <v>299</v>
      </c>
      <c r="D90">
        <f>COUNTIF(Replication!$B$2:$ML$100,C90)</f>
        <v>0</v>
      </c>
      <c r="E90" s="26">
        <f t="shared" si="4"/>
        <v>0</v>
      </c>
      <c r="F90" s="1">
        <f>VLOOKUP(C90,'Raw Data'!$A$1:$L$417,2,FALSE)</f>
        <v>4.99539812661091</v>
      </c>
      <c r="G90" s="84">
        <f t="shared" si="7"/>
        <v>366.65126281890019</v>
      </c>
      <c r="H90" s="12">
        <f t="shared" si="6"/>
        <v>1</v>
      </c>
      <c r="I90">
        <f t="shared" si="5"/>
        <v>1</v>
      </c>
    </row>
    <row r="91" spans="2:9" x14ac:dyDescent="0.3">
      <c r="B91" s="12">
        <f>VLOOKUP(C91,'Raw Data'!$A$1:$I$417,9,FALSE)</f>
        <v>0</v>
      </c>
      <c r="C91">
        <v>18</v>
      </c>
      <c r="D91">
        <f>COUNTIF(Replication!$B$2:$ML$100,C91)</f>
        <v>0</v>
      </c>
      <c r="E91" s="26">
        <f t="shared" si="4"/>
        <v>0</v>
      </c>
      <c r="F91" s="1">
        <f>VLOOKUP(C91,'Raw Data'!$A$1:$L$417,2,FALSE)</f>
        <v>4.0791284832946362</v>
      </c>
      <c r="G91" s="84">
        <f t="shared" si="7"/>
        <v>366.65126281890019</v>
      </c>
      <c r="H91" s="12">
        <f t="shared" si="6"/>
        <v>0</v>
      </c>
      <c r="I91">
        <f t="shared" si="5"/>
        <v>1</v>
      </c>
    </row>
    <row r="92" spans="2:9" x14ac:dyDescent="0.3">
      <c r="B92" s="12">
        <f>VLOOKUP(C92,'Raw Data'!$A$1:$I$417,9,FALSE)</f>
        <v>1</v>
      </c>
      <c r="C92">
        <v>892</v>
      </c>
      <c r="D92">
        <f>COUNTIF(Replication!$B$2:$ML$100,C92)</f>
        <v>0</v>
      </c>
      <c r="E92" s="26">
        <f t="shared" si="4"/>
        <v>0</v>
      </c>
      <c r="F92" s="1">
        <f>VLOOKUP(C92,'Raw Data'!$A$1:$L$417,2,FALSE)</f>
        <v>1.982881574739298</v>
      </c>
      <c r="G92" s="84">
        <f t="shared" si="7"/>
        <v>364.66838124416091</v>
      </c>
      <c r="H92" s="12">
        <f t="shared" si="6"/>
        <v>1</v>
      </c>
      <c r="I92">
        <f t="shared" si="5"/>
        <v>1</v>
      </c>
    </row>
    <row r="93" spans="2:9" x14ac:dyDescent="0.3">
      <c r="B93" s="12">
        <f>VLOOKUP(C93,'Raw Data'!$A$1:$I$417,9,FALSE)</f>
        <v>0</v>
      </c>
      <c r="C93">
        <v>569</v>
      </c>
      <c r="D93">
        <f>COUNTIF(Replication!$B$2:$ML$100,C93)</f>
        <v>0</v>
      </c>
      <c r="E93" s="26">
        <f t="shared" si="4"/>
        <v>0</v>
      </c>
      <c r="F93" s="1">
        <f>VLOOKUP(C93,'Raw Data'!$A$1:$L$417,2,FALSE)</f>
        <v>3.6644565432183054</v>
      </c>
      <c r="G93" s="84">
        <f t="shared" si="7"/>
        <v>364.66838124416091</v>
      </c>
      <c r="H93" s="12">
        <f t="shared" si="6"/>
        <v>0</v>
      </c>
      <c r="I93">
        <f t="shared" si="5"/>
        <v>1</v>
      </c>
    </row>
    <row r="94" spans="2:9" x14ac:dyDescent="0.3">
      <c r="B94" s="12">
        <f>VLOOKUP(C94,'Raw Data'!$A$1:$I$417,9,FALSE)</f>
        <v>0</v>
      </c>
      <c r="C94">
        <v>284</v>
      </c>
      <c r="D94">
        <f>COUNTIF(Replication!$B$2:$ML$100,C94)</f>
        <v>0</v>
      </c>
      <c r="E94" s="26">
        <f t="shared" si="4"/>
        <v>0</v>
      </c>
      <c r="F94" s="1">
        <f>VLOOKUP(C94,'Raw Data'!$A$1:$L$417,2,FALSE)</f>
        <v>2.1396947851162542</v>
      </c>
      <c r="G94" s="84">
        <f t="shared" si="7"/>
        <v>364.66838124416091</v>
      </c>
      <c r="H94" s="12">
        <f t="shared" si="6"/>
        <v>0</v>
      </c>
      <c r="I94">
        <f t="shared" si="5"/>
        <v>1</v>
      </c>
    </row>
    <row r="95" spans="2:9" x14ac:dyDescent="0.3">
      <c r="B95" s="12">
        <f>VLOOKUP(C95,'Raw Data'!$A$1:$I$417,9,FALSE)</f>
        <v>1</v>
      </c>
      <c r="C95">
        <v>176</v>
      </c>
      <c r="D95">
        <f>COUNTIF(Replication!$B$2:$ML$100,C95)</f>
        <v>0</v>
      </c>
      <c r="E95" s="26">
        <f t="shared" si="4"/>
        <v>0</v>
      </c>
      <c r="F95" s="1">
        <f>VLOOKUP(C95,'Raw Data'!$A$1:$L$417,2,FALSE)</f>
        <v>1.9957645744781394</v>
      </c>
      <c r="G95" s="84">
        <f t="shared" si="7"/>
        <v>362.67261666968278</v>
      </c>
      <c r="H95" s="12">
        <f t="shared" si="6"/>
        <v>1</v>
      </c>
      <c r="I95">
        <f t="shared" si="5"/>
        <v>1</v>
      </c>
    </row>
    <row r="96" spans="2:9" x14ac:dyDescent="0.3">
      <c r="B96" s="12">
        <f>VLOOKUP(C96,'Raw Data'!$A$1:$I$417,9,FALSE)</f>
        <v>1</v>
      </c>
      <c r="C96">
        <v>294</v>
      </c>
      <c r="D96">
        <f>COUNTIF(Replication!$B$2:$ML$100,C96)</f>
        <v>0</v>
      </c>
      <c r="E96" s="26">
        <f t="shared" si="4"/>
        <v>0</v>
      </c>
      <c r="F96" s="1">
        <f>VLOOKUP(C96,'Raw Data'!$A$1:$L$417,2,FALSE)</f>
        <v>0.73039598797183691</v>
      </c>
      <c r="G96" s="84">
        <f t="shared" si="7"/>
        <v>361.94222068171092</v>
      </c>
      <c r="H96" s="12">
        <f t="shared" si="6"/>
        <v>1</v>
      </c>
      <c r="I96">
        <f t="shared" si="5"/>
        <v>1</v>
      </c>
    </row>
    <row r="97" spans="2:9" x14ac:dyDescent="0.3">
      <c r="B97" s="12">
        <f>VLOOKUP(C97,'Raw Data'!$A$1:$I$417,9,FALSE)</f>
        <v>1</v>
      </c>
      <c r="C97">
        <v>1019</v>
      </c>
      <c r="D97">
        <f>COUNTIF(Replication!$B$2:$ML$100,C97)</f>
        <v>0</v>
      </c>
      <c r="E97" s="26">
        <f t="shared" si="4"/>
        <v>0</v>
      </c>
      <c r="F97" s="1">
        <f>VLOOKUP(C97,'Raw Data'!$A$1:$L$417,2,FALSE)</f>
        <v>5.5401622001281705</v>
      </c>
      <c r="G97" s="84">
        <f t="shared" si="7"/>
        <v>356.40205848158274</v>
      </c>
      <c r="H97" s="12">
        <f t="shared" si="6"/>
        <v>1</v>
      </c>
      <c r="I97">
        <f t="shared" si="5"/>
        <v>1</v>
      </c>
    </row>
    <row r="98" spans="2:9" x14ac:dyDescent="0.3">
      <c r="B98" s="12">
        <f>VLOOKUP(C98,'Raw Data'!$A$1:$I$417,9,FALSE)</f>
        <v>1</v>
      </c>
      <c r="C98">
        <v>242</v>
      </c>
      <c r="D98">
        <f>COUNTIF(Replication!$B$2:$ML$100,C98)</f>
        <v>0</v>
      </c>
      <c r="E98" s="26">
        <f t="shared" si="4"/>
        <v>0</v>
      </c>
      <c r="F98" s="1">
        <f>VLOOKUP(C98,'Raw Data'!$A$1:$L$417,2,FALSE)</f>
        <v>5.4238176620396752</v>
      </c>
      <c r="G98" s="84">
        <f t="shared" si="7"/>
        <v>350.97824081954309</v>
      </c>
      <c r="H98" s="12">
        <f t="shared" si="6"/>
        <v>1</v>
      </c>
      <c r="I98">
        <f t="shared" si="5"/>
        <v>1</v>
      </c>
    </row>
    <row r="99" spans="2:9" x14ac:dyDescent="0.3">
      <c r="B99" s="12">
        <f>VLOOKUP(C99,'Raw Data'!$A$1:$I$417,9,FALSE)</f>
        <v>0</v>
      </c>
      <c r="C99">
        <v>148</v>
      </c>
      <c r="D99">
        <f>COUNTIF(Replication!$B$2:$ML$100,C99)</f>
        <v>0</v>
      </c>
      <c r="E99" s="26">
        <f t="shared" si="4"/>
        <v>0</v>
      </c>
      <c r="F99" s="1">
        <f>VLOOKUP(C99,'Raw Data'!$A$1:$L$417,2,FALSE)</f>
        <v>3.8395221550412728</v>
      </c>
      <c r="G99" s="84">
        <f t="shared" si="7"/>
        <v>350.97824081954309</v>
      </c>
      <c r="H99" s="12">
        <f t="shared" si="6"/>
        <v>0</v>
      </c>
      <c r="I99">
        <f t="shared" si="5"/>
        <v>1</v>
      </c>
    </row>
    <row r="100" spans="2:9" x14ac:dyDescent="0.3">
      <c r="B100" s="12">
        <f>VLOOKUP(C100,'Raw Data'!$A$1:$I$417,9,FALSE)</f>
        <v>1</v>
      </c>
      <c r="C100">
        <v>977</v>
      </c>
      <c r="D100">
        <f>COUNTIF(Replication!$B$2:$ML$100,C100)</f>
        <v>0</v>
      </c>
      <c r="E100" s="26">
        <f t="shared" si="4"/>
        <v>0</v>
      </c>
      <c r="F100" s="1">
        <f>VLOOKUP(C100,'Raw Data'!$A$1:$L$417,2,FALSE)</f>
        <v>1.3460155598940049</v>
      </c>
      <c r="G100" s="84">
        <f t="shared" si="7"/>
        <v>349.63222525964909</v>
      </c>
      <c r="H100" s="12">
        <f t="shared" si="6"/>
        <v>1</v>
      </c>
      <c r="I100">
        <f t="shared" si="5"/>
        <v>1</v>
      </c>
    </row>
    <row r="101" spans="2:9" x14ac:dyDescent="0.3">
      <c r="B101" s="12">
        <f>VLOOKUP(C101,'Raw Data'!$A$1:$I$417,9,FALSE)</f>
        <v>1</v>
      </c>
      <c r="C101">
        <v>957</v>
      </c>
      <c r="D101">
        <f>COUNTIF(Replication!$B$2:$ML$100,C101)</f>
        <v>0</v>
      </c>
      <c r="E101" s="26">
        <f t="shared" si="4"/>
        <v>0</v>
      </c>
      <c r="F101" s="1">
        <f>VLOOKUP(C101,'Raw Data'!$A$1:$L$417,2,FALSE)</f>
        <v>3.1890439134701043</v>
      </c>
      <c r="G101" s="84">
        <f t="shared" si="7"/>
        <v>346.44318134617896</v>
      </c>
      <c r="H101" s="12">
        <f t="shared" si="6"/>
        <v>1</v>
      </c>
      <c r="I101">
        <f t="shared" si="5"/>
        <v>1</v>
      </c>
    </row>
    <row r="102" spans="2:9" x14ac:dyDescent="0.3">
      <c r="B102" s="12">
        <f>VLOOKUP(C102,'Raw Data'!$A$1:$I$417,9,FALSE)</f>
        <v>0</v>
      </c>
      <c r="C102">
        <v>1049</v>
      </c>
      <c r="D102">
        <f>COUNTIF(Replication!$B$2:$ML$100,C102)</f>
        <v>0</v>
      </c>
      <c r="E102" s="26">
        <f t="shared" si="4"/>
        <v>0</v>
      </c>
      <c r="F102" s="1">
        <f>VLOOKUP(C102,'Raw Data'!$A$1:$L$417,2,FALSE)</f>
        <v>2.9952230291617266</v>
      </c>
      <c r="G102" s="84">
        <f t="shared" si="7"/>
        <v>346.44318134617896</v>
      </c>
      <c r="H102" s="12">
        <f t="shared" si="6"/>
        <v>0</v>
      </c>
      <c r="I102">
        <f t="shared" si="5"/>
        <v>1</v>
      </c>
    </row>
    <row r="103" spans="2:9" x14ac:dyDescent="0.3">
      <c r="B103" s="12">
        <f>VLOOKUP(C103,'Raw Data'!$A$1:$I$417,9,FALSE)</f>
        <v>1</v>
      </c>
      <c r="C103">
        <v>951</v>
      </c>
      <c r="D103">
        <f>COUNTIF(Replication!$B$2:$ML$100,C103)</f>
        <v>0</v>
      </c>
      <c r="E103" s="26">
        <f t="shared" si="4"/>
        <v>0</v>
      </c>
      <c r="F103" s="1">
        <f>VLOOKUP(C103,'Raw Data'!$A$1:$L$417,2,FALSE)</f>
        <v>2.621341523654638</v>
      </c>
      <c r="G103" s="84">
        <f t="shared" si="7"/>
        <v>343.82183982252434</v>
      </c>
      <c r="H103" s="12">
        <f t="shared" si="6"/>
        <v>1</v>
      </c>
      <c r="I103">
        <f t="shared" si="5"/>
        <v>1</v>
      </c>
    </row>
    <row r="104" spans="2:9" x14ac:dyDescent="0.3">
      <c r="B104" s="12">
        <f>VLOOKUP(C104,'Raw Data'!$A$1:$I$417,9,FALSE)</f>
        <v>1</v>
      </c>
      <c r="C104">
        <v>109</v>
      </c>
      <c r="D104">
        <f>COUNTIF(Replication!$B$2:$ML$100,C104)</f>
        <v>0</v>
      </c>
      <c r="E104" s="26">
        <f t="shared" si="4"/>
        <v>0</v>
      </c>
      <c r="F104" s="1">
        <f>VLOOKUP(C104,'Raw Data'!$A$1:$L$417,2,FALSE)</f>
        <v>2.7549304722085735</v>
      </c>
      <c r="G104" s="84">
        <f t="shared" si="7"/>
        <v>341.06690935031577</v>
      </c>
      <c r="H104" s="12">
        <f t="shared" si="6"/>
        <v>1</v>
      </c>
      <c r="I104">
        <f t="shared" si="5"/>
        <v>1</v>
      </c>
    </row>
    <row r="105" spans="2:9" x14ac:dyDescent="0.3">
      <c r="B105" s="12">
        <f>VLOOKUP(C105,'Raw Data'!$A$1:$I$417,9,FALSE)</f>
        <v>1</v>
      </c>
      <c r="C105">
        <v>228</v>
      </c>
      <c r="D105">
        <f>COUNTIF(Replication!$B$2:$ML$100,C105)</f>
        <v>0</v>
      </c>
      <c r="E105" s="26">
        <f t="shared" si="4"/>
        <v>0</v>
      </c>
      <c r="F105" s="1">
        <f>VLOOKUP(C105,'Raw Data'!$A$1:$L$417,2,FALSE)</f>
        <v>1.6179579069834471</v>
      </c>
      <c r="G105" s="84">
        <f t="shared" si="7"/>
        <v>339.44895144333231</v>
      </c>
      <c r="H105" s="12">
        <f t="shared" si="6"/>
        <v>1</v>
      </c>
      <c r="I105">
        <f t="shared" si="5"/>
        <v>1</v>
      </c>
    </row>
    <row r="106" spans="2:9" x14ac:dyDescent="0.3">
      <c r="B106" s="12">
        <f>VLOOKUP(C106,'Raw Data'!$A$1:$I$417,9,FALSE)</f>
        <v>1</v>
      </c>
      <c r="C106">
        <v>64</v>
      </c>
      <c r="D106">
        <f>COUNTIF(Replication!$B$2:$ML$100,C106)</f>
        <v>0</v>
      </c>
      <c r="E106" s="26">
        <f t="shared" si="4"/>
        <v>0</v>
      </c>
      <c r="F106" s="1">
        <f>VLOOKUP(C106,'Raw Data'!$A$1:$L$417,2,FALSE)</f>
        <v>3.0412679026231624</v>
      </c>
      <c r="G106" s="84">
        <f t="shared" si="7"/>
        <v>336.40768354070912</v>
      </c>
      <c r="H106" s="12">
        <f t="shared" si="6"/>
        <v>1</v>
      </c>
      <c r="I106">
        <f t="shared" si="5"/>
        <v>1</v>
      </c>
    </row>
    <row r="107" spans="2:9" x14ac:dyDescent="0.3">
      <c r="B107" s="12">
        <f>VLOOKUP(C107,'Raw Data'!$A$1:$I$417,9,FALSE)</f>
        <v>1</v>
      </c>
      <c r="C107">
        <v>1064</v>
      </c>
      <c r="D107">
        <f>COUNTIF(Replication!$B$2:$ML$100,C107)</f>
        <v>0</v>
      </c>
      <c r="E107" s="26">
        <f t="shared" si="4"/>
        <v>0</v>
      </c>
      <c r="F107" s="1">
        <f>VLOOKUP(C107,'Raw Data'!$A$1:$L$417,2,FALSE)</f>
        <v>1.4751298259820844</v>
      </c>
      <c r="G107" s="84">
        <f t="shared" si="7"/>
        <v>334.93255371472702</v>
      </c>
      <c r="H107" s="12">
        <f t="shared" si="6"/>
        <v>1</v>
      </c>
      <c r="I107">
        <f t="shared" si="5"/>
        <v>1</v>
      </c>
    </row>
    <row r="108" spans="2:9" x14ac:dyDescent="0.3">
      <c r="B108" s="12">
        <f>VLOOKUP(C108,'Raw Data'!$A$1:$I$417,9,FALSE)</f>
        <v>1</v>
      </c>
      <c r="C108">
        <v>586</v>
      </c>
      <c r="D108">
        <f>COUNTIF(Replication!$B$2:$ML$100,C108)</f>
        <v>0</v>
      </c>
      <c r="E108" s="26">
        <f t="shared" si="4"/>
        <v>0</v>
      </c>
      <c r="F108" s="1">
        <f>VLOOKUP(C108,'Raw Data'!$A$1:$L$417,2,FALSE)</f>
        <v>1.794780770638037</v>
      </c>
      <c r="G108" s="84">
        <f t="shared" si="7"/>
        <v>333.13777294408897</v>
      </c>
      <c r="H108" s="12">
        <f t="shared" si="6"/>
        <v>1</v>
      </c>
      <c r="I108">
        <f t="shared" si="5"/>
        <v>1</v>
      </c>
    </row>
    <row r="109" spans="2:9" x14ac:dyDescent="0.3">
      <c r="B109" s="12">
        <f>VLOOKUP(C109,'Raw Data'!$A$1:$I$417,9,FALSE)</f>
        <v>1</v>
      </c>
      <c r="C109">
        <v>542</v>
      </c>
      <c r="D109">
        <f>COUNTIF(Replication!$B$2:$ML$100,C109)</f>
        <v>0</v>
      </c>
      <c r="E109" s="26">
        <f t="shared" si="4"/>
        <v>0</v>
      </c>
      <c r="F109" s="1">
        <f>VLOOKUP(C109,'Raw Data'!$A$1:$L$417,2,FALSE)</f>
        <v>1.6840524927386569</v>
      </c>
      <c r="G109" s="84">
        <f t="shared" si="7"/>
        <v>331.45372045135031</v>
      </c>
      <c r="H109" s="12">
        <f t="shared" si="6"/>
        <v>1</v>
      </c>
      <c r="I109">
        <f t="shared" si="5"/>
        <v>1</v>
      </c>
    </row>
    <row r="110" spans="2:9" x14ac:dyDescent="0.3">
      <c r="B110" s="12">
        <f>VLOOKUP(C110,'Raw Data'!$A$1:$I$417,9,FALSE)</f>
        <v>1</v>
      </c>
      <c r="C110">
        <v>794</v>
      </c>
      <c r="D110">
        <f>COUNTIF(Replication!$B$2:$ML$100,C110)</f>
        <v>0</v>
      </c>
      <c r="E110" s="26">
        <f t="shared" si="4"/>
        <v>0</v>
      </c>
      <c r="F110" s="1">
        <f>VLOOKUP(C110,'Raw Data'!$A$1:$L$417,2,FALSE)</f>
        <v>2.9754537887153854</v>
      </c>
      <c r="G110" s="84">
        <f t="shared" si="7"/>
        <v>328.47826666263489</v>
      </c>
      <c r="H110" s="12">
        <f t="shared" si="6"/>
        <v>1</v>
      </c>
      <c r="I110">
        <f t="shared" si="5"/>
        <v>1</v>
      </c>
    </row>
    <row r="111" spans="2:9" x14ac:dyDescent="0.3">
      <c r="B111" s="12">
        <f>VLOOKUP(C111,'Raw Data'!$A$1:$I$417,9,FALSE)</f>
        <v>1</v>
      </c>
      <c r="C111">
        <v>909</v>
      </c>
      <c r="D111">
        <f>COUNTIF(Replication!$B$2:$ML$100,C111)</f>
        <v>0</v>
      </c>
      <c r="E111" s="26">
        <f t="shared" si="4"/>
        <v>0</v>
      </c>
      <c r="F111" s="1">
        <f>VLOOKUP(C111,'Raw Data'!$A$1:$L$417,2,FALSE)</f>
        <v>3.5885136494259342</v>
      </c>
      <c r="G111" s="84">
        <f t="shared" si="7"/>
        <v>324.88975301320897</v>
      </c>
      <c r="H111" s="12">
        <f t="shared" si="6"/>
        <v>1</v>
      </c>
      <c r="I111">
        <f t="shared" si="5"/>
        <v>1</v>
      </c>
    </row>
    <row r="112" spans="2:9" x14ac:dyDescent="0.3">
      <c r="B112" s="12">
        <f>VLOOKUP(C112,'Raw Data'!$A$1:$I$417,9,FALSE)</f>
        <v>1</v>
      </c>
      <c r="C112">
        <v>43</v>
      </c>
      <c r="D112">
        <f>COUNTIF(Replication!$B$2:$ML$100,C112)</f>
        <v>0</v>
      </c>
      <c r="E112" s="26">
        <f t="shared" si="4"/>
        <v>0</v>
      </c>
      <c r="F112" s="1">
        <f>VLOOKUP(C112,'Raw Data'!$A$1:$L$417,2,FALSE)</f>
        <v>3.4400274060550249</v>
      </c>
      <c r="G112" s="84">
        <f t="shared" si="7"/>
        <v>321.44972560715394</v>
      </c>
      <c r="H112" s="12">
        <f t="shared" si="6"/>
        <v>1</v>
      </c>
      <c r="I112">
        <f t="shared" si="5"/>
        <v>1</v>
      </c>
    </row>
    <row r="113" spans="2:9" x14ac:dyDescent="0.3">
      <c r="B113" s="12">
        <f>VLOOKUP(C113,'Raw Data'!$A$1:$I$417,9,FALSE)</f>
        <v>0</v>
      </c>
      <c r="C113">
        <v>940</v>
      </c>
      <c r="D113">
        <f>COUNTIF(Replication!$B$2:$ML$100,C113)</f>
        <v>0</v>
      </c>
      <c r="E113" s="26">
        <f t="shared" si="4"/>
        <v>0</v>
      </c>
      <c r="F113" s="1">
        <f>VLOOKUP(C113,'Raw Data'!$A$1:$L$417,2,FALSE)</f>
        <v>4.4904599143116606</v>
      </c>
      <c r="G113" s="84">
        <f t="shared" si="7"/>
        <v>321.44972560715394</v>
      </c>
      <c r="H113" s="12">
        <f t="shared" si="6"/>
        <v>0</v>
      </c>
      <c r="I113">
        <f t="shared" si="5"/>
        <v>1</v>
      </c>
    </row>
    <row r="114" spans="2:9" x14ac:dyDescent="0.3">
      <c r="B114" s="12">
        <f>VLOOKUP(C114,'Raw Data'!$A$1:$I$417,9,FALSE)</f>
        <v>0</v>
      </c>
      <c r="C114">
        <v>47</v>
      </c>
      <c r="D114">
        <f>COUNTIF(Replication!$B$2:$ML$100,C114)</f>
        <v>0</v>
      </c>
      <c r="E114" s="26">
        <f t="shared" si="4"/>
        <v>0</v>
      </c>
      <c r="F114" s="1">
        <f>VLOOKUP(C114,'Raw Data'!$A$1:$L$417,2,FALSE)</f>
        <v>2.491868862856804</v>
      </c>
      <c r="G114" s="84">
        <f t="shared" si="7"/>
        <v>321.44972560715394</v>
      </c>
      <c r="H114" s="12">
        <f t="shared" si="6"/>
        <v>0</v>
      </c>
      <c r="I114">
        <f t="shared" si="5"/>
        <v>1</v>
      </c>
    </row>
    <row r="115" spans="2:9" x14ac:dyDescent="0.3">
      <c r="B115" s="12">
        <f>VLOOKUP(C115,'Raw Data'!$A$1:$I$417,9,FALSE)</f>
        <v>0</v>
      </c>
      <c r="C115">
        <v>719</v>
      </c>
      <c r="D115">
        <f>COUNTIF(Replication!$B$2:$ML$100,C115)</f>
        <v>0</v>
      </c>
      <c r="E115" s="26">
        <f t="shared" si="4"/>
        <v>0</v>
      </c>
      <c r="F115" s="1">
        <f>VLOOKUP(C115,'Raw Data'!$A$1:$L$417,2,FALSE)</f>
        <v>3.127348736843365</v>
      </c>
      <c r="G115" s="84">
        <f t="shared" si="7"/>
        <v>321.44972560715394</v>
      </c>
      <c r="H115" s="12">
        <f t="shared" si="6"/>
        <v>0</v>
      </c>
      <c r="I115">
        <f t="shared" si="5"/>
        <v>1</v>
      </c>
    </row>
    <row r="116" spans="2:9" x14ac:dyDescent="0.3">
      <c r="B116" s="12">
        <f>VLOOKUP(C116,'Raw Data'!$A$1:$I$417,9,FALSE)</f>
        <v>0</v>
      </c>
      <c r="C116">
        <v>361</v>
      </c>
      <c r="D116">
        <f>COUNTIF(Replication!$B$2:$ML$100,C116)</f>
        <v>0</v>
      </c>
      <c r="E116" s="26">
        <f t="shared" si="4"/>
        <v>0</v>
      </c>
      <c r="F116" s="1">
        <f>VLOOKUP(C116,'Raw Data'!$A$1:$L$417,2,FALSE)</f>
        <v>2.2948480039529837</v>
      </c>
      <c r="G116" s="84">
        <f t="shared" si="7"/>
        <v>321.44972560715394</v>
      </c>
      <c r="H116" s="12">
        <f t="shared" si="6"/>
        <v>0</v>
      </c>
      <c r="I116">
        <f t="shared" si="5"/>
        <v>1</v>
      </c>
    </row>
    <row r="117" spans="2:9" x14ac:dyDescent="0.3">
      <c r="B117" s="12">
        <f>VLOOKUP(C117,'Raw Data'!$A$1:$I$417,9,FALSE)</f>
        <v>1</v>
      </c>
      <c r="C117">
        <v>1101</v>
      </c>
      <c r="D117">
        <f>COUNTIF(Replication!$B$2:$ML$100,C117)</f>
        <v>0</v>
      </c>
      <c r="E117" s="26">
        <f t="shared" si="4"/>
        <v>0</v>
      </c>
      <c r="F117" s="1">
        <f>VLOOKUP(C117,'Raw Data'!$A$1:$L$417,2,FALSE)</f>
        <v>3.7797107747075431</v>
      </c>
      <c r="G117" s="84">
        <f t="shared" si="7"/>
        <v>317.67001483244638</v>
      </c>
      <c r="H117" s="12">
        <f t="shared" si="6"/>
        <v>1</v>
      </c>
      <c r="I117">
        <f t="shared" si="5"/>
        <v>1</v>
      </c>
    </row>
    <row r="118" spans="2:9" x14ac:dyDescent="0.3">
      <c r="B118" s="12">
        <f>VLOOKUP(C118,'Raw Data'!$A$1:$I$417,9,FALSE)</f>
        <v>0</v>
      </c>
      <c r="C118">
        <v>1100</v>
      </c>
      <c r="D118">
        <f>COUNTIF(Replication!$B$2:$ML$100,C118)</f>
        <v>0</v>
      </c>
      <c r="E118" s="26">
        <f t="shared" si="4"/>
        <v>0</v>
      </c>
      <c r="F118" s="1">
        <f>VLOOKUP(C118,'Raw Data'!$A$1:$L$417,2,FALSE)</f>
        <v>6.6708003843085297</v>
      </c>
      <c r="G118" s="84">
        <f t="shared" si="7"/>
        <v>317.67001483244638</v>
      </c>
      <c r="H118" s="12">
        <f t="shared" si="6"/>
        <v>0</v>
      </c>
      <c r="I118">
        <f t="shared" si="5"/>
        <v>1</v>
      </c>
    </row>
    <row r="119" spans="2:9" x14ac:dyDescent="0.3">
      <c r="B119" s="12">
        <f>VLOOKUP(C119,'Raw Data'!$A$1:$I$417,9,FALSE)</f>
        <v>0</v>
      </c>
      <c r="C119">
        <v>505</v>
      </c>
      <c r="D119">
        <f>COUNTIF(Replication!$B$2:$ML$100,C119)</f>
        <v>0</v>
      </c>
      <c r="E119" s="26">
        <f t="shared" si="4"/>
        <v>0</v>
      </c>
      <c r="F119" s="1">
        <f>VLOOKUP(C119,'Raw Data'!$A$1:$L$417,2,FALSE)</f>
        <v>4.6162238654125858</v>
      </c>
      <c r="G119" s="84">
        <f t="shared" si="7"/>
        <v>317.67001483244638</v>
      </c>
      <c r="H119" s="12">
        <f t="shared" si="6"/>
        <v>0</v>
      </c>
      <c r="I119">
        <f t="shared" si="5"/>
        <v>1</v>
      </c>
    </row>
    <row r="120" spans="2:9" x14ac:dyDescent="0.3">
      <c r="B120" s="12">
        <f>VLOOKUP(C120,'Raw Data'!$A$1:$I$417,9,FALSE)</f>
        <v>0</v>
      </c>
      <c r="C120">
        <v>32</v>
      </c>
      <c r="D120">
        <f>COUNTIF(Replication!$B$2:$ML$100,C120)</f>
        <v>0</v>
      </c>
      <c r="E120" s="26">
        <f t="shared" si="4"/>
        <v>0</v>
      </c>
      <c r="F120" s="1">
        <f>VLOOKUP(C120,'Raw Data'!$A$1:$L$417,2,FALSE)</f>
        <v>2.703574087155304</v>
      </c>
      <c r="G120" s="84">
        <f t="shared" si="7"/>
        <v>317.67001483244638</v>
      </c>
      <c r="H120" s="12">
        <f t="shared" si="6"/>
        <v>0</v>
      </c>
      <c r="I120">
        <f t="shared" si="5"/>
        <v>1</v>
      </c>
    </row>
    <row r="121" spans="2:9" x14ac:dyDescent="0.3">
      <c r="B121" s="12">
        <f>VLOOKUP(C121,'Raw Data'!$A$1:$I$417,9,FALSE)</f>
        <v>1</v>
      </c>
      <c r="C121">
        <v>276</v>
      </c>
      <c r="D121">
        <f>COUNTIF(Replication!$B$2:$ML$100,C121)</f>
        <v>0</v>
      </c>
      <c r="E121" s="26">
        <f t="shared" si="4"/>
        <v>0</v>
      </c>
      <c r="F121" s="1">
        <f>VLOOKUP(C121,'Raw Data'!$A$1:$L$417,2,FALSE)</f>
        <v>1.2193151269162017</v>
      </c>
      <c r="G121" s="84">
        <f t="shared" si="7"/>
        <v>316.45069970553016</v>
      </c>
      <c r="H121" s="12">
        <f t="shared" si="6"/>
        <v>1</v>
      </c>
      <c r="I121">
        <f t="shared" si="5"/>
        <v>1</v>
      </c>
    </row>
    <row r="122" spans="2:9" x14ac:dyDescent="0.3">
      <c r="B122" s="12">
        <f>VLOOKUP(C122,'Raw Data'!$A$1:$I$417,9,FALSE)</f>
        <v>0</v>
      </c>
      <c r="C122">
        <v>497</v>
      </c>
      <c r="D122">
        <f>COUNTIF(Replication!$B$2:$ML$100,C122)</f>
        <v>0</v>
      </c>
      <c r="E122" s="26">
        <f t="shared" si="4"/>
        <v>0</v>
      </c>
      <c r="F122" s="1">
        <f>VLOOKUP(C122,'Raw Data'!$A$1:$L$417,2,FALSE)</f>
        <v>3.4258996731896465</v>
      </c>
      <c r="G122" s="84">
        <f t="shared" si="7"/>
        <v>316.45069970553016</v>
      </c>
      <c r="H122" s="12">
        <f t="shared" si="6"/>
        <v>0</v>
      </c>
      <c r="I122">
        <f t="shared" si="5"/>
        <v>1</v>
      </c>
    </row>
    <row r="123" spans="2:9" x14ac:dyDescent="0.3">
      <c r="B123" s="12">
        <f>VLOOKUP(C123,'Raw Data'!$A$1:$I$417,9,FALSE)</f>
        <v>1</v>
      </c>
      <c r="C123">
        <v>270</v>
      </c>
      <c r="D123">
        <f>COUNTIF(Replication!$B$2:$ML$100,C123)</f>
        <v>0</v>
      </c>
      <c r="E123" s="26">
        <f t="shared" si="4"/>
        <v>0</v>
      </c>
      <c r="F123" s="1">
        <f>VLOOKUP(C123,'Raw Data'!$A$1:$L$417,2,FALSE)</f>
        <v>2.6440297825127281</v>
      </c>
      <c r="G123" s="84">
        <f t="shared" si="7"/>
        <v>313.80666992301741</v>
      </c>
      <c r="H123" s="12">
        <f t="shared" si="6"/>
        <v>1</v>
      </c>
      <c r="I123">
        <f t="shared" si="5"/>
        <v>1</v>
      </c>
    </row>
    <row r="124" spans="2:9" x14ac:dyDescent="0.3">
      <c r="B124" s="12">
        <f>VLOOKUP(C124,'Raw Data'!$A$1:$I$417,9,FALSE)</f>
        <v>0</v>
      </c>
      <c r="C124">
        <v>945</v>
      </c>
      <c r="D124">
        <f>COUNTIF(Replication!$B$2:$ML$100,C124)</f>
        <v>0</v>
      </c>
      <c r="E124" s="26">
        <f t="shared" si="4"/>
        <v>0</v>
      </c>
      <c r="F124" s="1">
        <f>VLOOKUP(C124,'Raw Data'!$A$1:$L$417,2,FALSE)</f>
        <v>1.8525448468969952</v>
      </c>
      <c r="G124" s="84">
        <f t="shared" si="7"/>
        <v>313.80666992301741</v>
      </c>
      <c r="H124" s="12">
        <f t="shared" si="6"/>
        <v>0</v>
      </c>
      <c r="I124">
        <f t="shared" si="5"/>
        <v>1</v>
      </c>
    </row>
    <row r="125" spans="2:9" x14ac:dyDescent="0.3">
      <c r="B125" s="12">
        <f>VLOOKUP(C125,'Raw Data'!$A$1:$I$417,9,FALSE)</f>
        <v>0</v>
      </c>
      <c r="C125">
        <v>245</v>
      </c>
      <c r="D125">
        <f>COUNTIF(Replication!$B$2:$ML$100,C125)</f>
        <v>0</v>
      </c>
      <c r="E125" s="26">
        <f t="shared" si="4"/>
        <v>0</v>
      </c>
      <c r="F125" s="1">
        <f>VLOOKUP(C125,'Raw Data'!$A$1:$L$417,2,FALSE)</f>
        <v>2.7442337372913581</v>
      </c>
      <c r="G125" s="84">
        <f t="shared" si="7"/>
        <v>313.80666992301741</v>
      </c>
      <c r="H125" s="12">
        <f t="shared" si="6"/>
        <v>0</v>
      </c>
      <c r="I125">
        <f t="shared" si="5"/>
        <v>1</v>
      </c>
    </row>
    <row r="126" spans="2:9" x14ac:dyDescent="0.3">
      <c r="B126" s="12">
        <f>VLOOKUP(C126,'Raw Data'!$A$1:$I$417,9,FALSE)</f>
        <v>0</v>
      </c>
      <c r="C126">
        <v>63</v>
      </c>
      <c r="D126">
        <f>COUNTIF(Replication!$B$2:$ML$100,C126)</f>
        <v>0</v>
      </c>
      <c r="E126" s="26">
        <f t="shared" si="4"/>
        <v>0</v>
      </c>
      <c r="F126" s="1">
        <f>VLOOKUP(C126,'Raw Data'!$A$1:$L$417,2,FALSE)</f>
        <v>2.8777593324401196</v>
      </c>
      <c r="G126" s="84">
        <f t="shared" si="7"/>
        <v>313.80666992301741</v>
      </c>
      <c r="H126" s="12">
        <f t="shared" si="6"/>
        <v>0</v>
      </c>
      <c r="I126">
        <f t="shared" si="5"/>
        <v>1</v>
      </c>
    </row>
    <row r="127" spans="2:9" x14ac:dyDescent="0.3">
      <c r="B127" s="12">
        <f>VLOOKUP(C127,'Raw Data'!$A$1:$I$417,9,FALSE)</f>
        <v>0</v>
      </c>
      <c r="C127">
        <v>753</v>
      </c>
      <c r="D127">
        <f>COUNTIF(Replication!$B$2:$ML$100,C127)</f>
        <v>0</v>
      </c>
      <c r="E127" s="26">
        <f t="shared" si="4"/>
        <v>0</v>
      </c>
      <c r="F127" s="1">
        <f>VLOOKUP(C127,'Raw Data'!$A$1:$L$417,2,FALSE)</f>
        <v>2.1333462381685466</v>
      </c>
      <c r="G127" s="84">
        <f t="shared" si="7"/>
        <v>313.80666992301741</v>
      </c>
      <c r="H127" s="12">
        <f t="shared" si="6"/>
        <v>0</v>
      </c>
      <c r="I127">
        <f t="shared" si="5"/>
        <v>1</v>
      </c>
    </row>
    <row r="128" spans="2:9" x14ac:dyDescent="0.3">
      <c r="B128" s="12">
        <f>VLOOKUP(C128,'Raw Data'!$A$1:$I$417,9,FALSE)</f>
        <v>1</v>
      </c>
      <c r="C128">
        <v>998</v>
      </c>
      <c r="D128">
        <f>COUNTIF(Replication!$B$2:$ML$100,C128)</f>
        <v>0</v>
      </c>
      <c r="E128" s="26">
        <f t="shared" si="4"/>
        <v>0</v>
      </c>
      <c r="F128" s="1">
        <f>VLOOKUP(C128,'Raw Data'!$A$1:$L$417,2,FALSE)</f>
        <v>2.2911272481943898</v>
      </c>
      <c r="G128" s="84">
        <f t="shared" si="7"/>
        <v>311.515542674823</v>
      </c>
      <c r="H128" s="12">
        <f t="shared" si="6"/>
        <v>1</v>
      </c>
      <c r="I128">
        <f t="shared" si="5"/>
        <v>1</v>
      </c>
    </row>
    <row r="129" spans="2:9" x14ac:dyDescent="0.3">
      <c r="B129" s="12">
        <f>VLOOKUP(C129,'Raw Data'!$A$1:$I$417,9,FALSE)</f>
        <v>0</v>
      </c>
      <c r="C129">
        <v>275</v>
      </c>
      <c r="D129">
        <f>COUNTIF(Replication!$B$2:$ML$100,C129)</f>
        <v>0</v>
      </c>
      <c r="E129" s="26">
        <f t="shared" si="4"/>
        <v>0</v>
      </c>
      <c r="F129" s="1">
        <f>VLOOKUP(C129,'Raw Data'!$A$1:$L$417,2,FALSE)</f>
        <v>1.1922314998958539</v>
      </c>
      <c r="G129" s="84">
        <f t="shared" si="7"/>
        <v>311.515542674823</v>
      </c>
      <c r="H129" s="12">
        <f t="shared" si="6"/>
        <v>0</v>
      </c>
      <c r="I129">
        <f t="shared" si="5"/>
        <v>1</v>
      </c>
    </row>
    <row r="130" spans="2:9" x14ac:dyDescent="0.3">
      <c r="B130" s="12">
        <f>VLOOKUP(C130,'Raw Data'!$A$1:$I$417,9,FALSE)</f>
        <v>1</v>
      </c>
      <c r="C130">
        <v>1106</v>
      </c>
      <c r="D130">
        <f>COUNTIF(Replication!$B$2:$ML$100,C130)</f>
        <v>0</v>
      </c>
      <c r="E130" s="26">
        <f t="shared" ref="E130:E193" si="8">D130/50</f>
        <v>0</v>
      </c>
      <c r="F130" s="1">
        <f>VLOOKUP(C130,'Raw Data'!$A$1:$L$417,2,FALSE)</f>
        <v>2.9859893627222291</v>
      </c>
      <c r="G130" s="84">
        <f t="shared" si="7"/>
        <v>308.52955331210075</v>
      </c>
      <c r="H130" s="12">
        <f t="shared" si="6"/>
        <v>1</v>
      </c>
      <c r="I130">
        <f t="shared" ref="I130:I193" si="9">IF(H130=B130,1,0)</f>
        <v>1</v>
      </c>
    </row>
    <row r="131" spans="2:9" x14ac:dyDescent="0.3">
      <c r="B131" s="12">
        <f>VLOOKUP(C131,'Raw Data'!$A$1:$I$417,9,FALSE)</f>
        <v>0</v>
      </c>
      <c r="C131">
        <v>173</v>
      </c>
      <c r="D131">
        <f>COUNTIF(Replication!$B$2:$ML$100,C131)</f>
        <v>0</v>
      </c>
      <c r="E131" s="26">
        <f t="shared" si="8"/>
        <v>0</v>
      </c>
      <c r="F131" s="1">
        <f>VLOOKUP(C131,'Raw Data'!$A$1:$L$417,2,FALSE)</f>
        <v>4.7034226772276986</v>
      </c>
      <c r="G131" s="84">
        <f t="shared" si="7"/>
        <v>308.52955331210075</v>
      </c>
      <c r="H131" s="12">
        <f t="shared" ref="H131:H194" si="10">IF(G131&gt;0,IF(B131&gt;0,1,0),0)</f>
        <v>0</v>
      </c>
      <c r="I131">
        <f t="shared" si="9"/>
        <v>1</v>
      </c>
    </row>
    <row r="132" spans="2:9" x14ac:dyDescent="0.3">
      <c r="B132" s="12">
        <f>VLOOKUP(C132,'Raw Data'!$A$1:$I$417,9,FALSE)</f>
        <v>0</v>
      </c>
      <c r="C132">
        <v>110</v>
      </c>
      <c r="D132">
        <f>COUNTIF(Replication!$B$2:$ML$100,C132)</f>
        <v>0</v>
      </c>
      <c r="E132" s="26">
        <f t="shared" si="8"/>
        <v>0</v>
      </c>
      <c r="F132" s="1">
        <f>VLOOKUP(C132,'Raw Data'!$A$1:$L$417,2,FALSE)</f>
        <v>3.007300103705405</v>
      </c>
      <c r="G132" s="84">
        <f t="shared" ref="G132:G195" si="11">IF(B132&gt;0,G131-F132,G131)</f>
        <v>308.52955331210075</v>
      </c>
      <c r="H132" s="12">
        <f t="shared" si="10"/>
        <v>0</v>
      </c>
      <c r="I132">
        <f t="shared" si="9"/>
        <v>1</v>
      </c>
    </row>
    <row r="133" spans="2:9" x14ac:dyDescent="0.3">
      <c r="B133" s="12">
        <f>VLOOKUP(C133,'Raw Data'!$A$1:$I$417,9,FALSE)</f>
        <v>1</v>
      </c>
      <c r="C133">
        <v>456</v>
      </c>
      <c r="D133">
        <f>COUNTIF(Replication!$B$2:$ML$100,C133)</f>
        <v>0</v>
      </c>
      <c r="E133" s="26">
        <f t="shared" si="8"/>
        <v>0</v>
      </c>
      <c r="F133" s="1">
        <f>VLOOKUP(C133,'Raw Data'!$A$1:$L$417,2,FALSE)</f>
        <v>3.5090733514186034</v>
      </c>
      <c r="G133" s="84">
        <f t="shared" si="11"/>
        <v>305.02047996068217</v>
      </c>
      <c r="H133" s="12">
        <f t="shared" si="10"/>
        <v>1</v>
      </c>
      <c r="I133">
        <f t="shared" si="9"/>
        <v>1</v>
      </c>
    </row>
    <row r="134" spans="2:9" x14ac:dyDescent="0.3">
      <c r="B134" s="12">
        <f>VLOOKUP(C134,'Raw Data'!$A$1:$I$417,9,FALSE)</f>
        <v>1</v>
      </c>
      <c r="C134">
        <v>254</v>
      </c>
      <c r="D134">
        <f>COUNTIF(Replication!$B$2:$ML$100,C134)</f>
        <v>0</v>
      </c>
      <c r="E134" s="26">
        <f t="shared" si="8"/>
        <v>0</v>
      </c>
      <c r="F134" s="1">
        <f>VLOOKUP(C134,'Raw Data'!$A$1:$L$417,2,FALSE)</f>
        <v>4.7870116473770574</v>
      </c>
      <c r="G134" s="84">
        <f t="shared" si="11"/>
        <v>300.23346831330508</v>
      </c>
      <c r="H134" s="12">
        <f t="shared" si="10"/>
        <v>1</v>
      </c>
      <c r="I134">
        <f t="shared" si="9"/>
        <v>1</v>
      </c>
    </row>
    <row r="135" spans="2:9" x14ac:dyDescent="0.3">
      <c r="B135" s="12">
        <f>VLOOKUP(C135,'Raw Data'!$A$1:$I$417,9,FALSE)</f>
        <v>0</v>
      </c>
      <c r="C135">
        <v>788</v>
      </c>
      <c r="D135">
        <f>COUNTIF(Replication!$B$2:$ML$100,C135)</f>
        <v>0</v>
      </c>
      <c r="E135" s="26">
        <f t="shared" si="8"/>
        <v>0</v>
      </c>
      <c r="F135" s="1">
        <f>VLOOKUP(C135,'Raw Data'!$A$1:$L$417,2,FALSE)</f>
        <v>4.893131422273143</v>
      </c>
      <c r="G135" s="84">
        <f t="shared" si="11"/>
        <v>300.23346831330508</v>
      </c>
      <c r="H135" s="12">
        <f t="shared" si="10"/>
        <v>0</v>
      </c>
      <c r="I135">
        <f t="shared" si="9"/>
        <v>1</v>
      </c>
    </row>
    <row r="136" spans="2:9" x14ac:dyDescent="0.3">
      <c r="B136" s="12">
        <f>VLOOKUP(C136,'Raw Data'!$A$1:$I$417,9,FALSE)</f>
        <v>0</v>
      </c>
      <c r="C136">
        <v>465</v>
      </c>
      <c r="D136">
        <f>COUNTIF(Replication!$B$2:$ML$100,C136)</f>
        <v>0</v>
      </c>
      <c r="E136" s="26">
        <f t="shared" si="8"/>
        <v>0</v>
      </c>
      <c r="F136" s="1">
        <f>VLOOKUP(C136,'Raw Data'!$A$1:$L$417,2,FALSE)</f>
        <v>3.0831343869225938</v>
      </c>
      <c r="G136" s="84">
        <f t="shared" si="11"/>
        <v>300.23346831330508</v>
      </c>
      <c r="H136" s="12">
        <f t="shared" si="10"/>
        <v>0</v>
      </c>
      <c r="I136">
        <f t="shared" si="9"/>
        <v>1</v>
      </c>
    </row>
    <row r="137" spans="2:9" x14ac:dyDescent="0.3">
      <c r="B137" s="12">
        <f>VLOOKUP(C137,'Raw Data'!$A$1:$I$417,9,FALSE)</f>
        <v>0</v>
      </c>
      <c r="C137">
        <v>645</v>
      </c>
      <c r="D137">
        <f>COUNTIF(Replication!$B$2:$ML$100,C137)</f>
        <v>0</v>
      </c>
      <c r="E137" s="26">
        <f t="shared" si="8"/>
        <v>0</v>
      </c>
      <c r="F137" s="1">
        <f>VLOOKUP(C137,'Raw Data'!$A$1:$L$417,2,FALSE)</f>
        <v>1.2972400220780678</v>
      </c>
      <c r="G137" s="84">
        <f t="shared" si="11"/>
        <v>300.23346831330508</v>
      </c>
      <c r="H137" s="12">
        <f t="shared" si="10"/>
        <v>0</v>
      </c>
      <c r="I137">
        <f t="shared" si="9"/>
        <v>1</v>
      </c>
    </row>
    <row r="138" spans="2:9" x14ac:dyDescent="0.3">
      <c r="B138" s="12">
        <f>VLOOKUP(C138,'Raw Data'!$A$1:$I$417,9,FALSE)</f>
        <v>0</v>
      </c>
      <c r="C138">
        <v>106</v>
      </c>
      <c r="D138">
        <f>COUNTIF(Replication!$B$2:$ML$100,C138)</f>
        <v>0</v>
      </c>
      <c r="E138" s="26">
        <f t="shared" si="8"/>
        <v>0</v>
      </c>
      <c r="F138" s="1">
        <f>VLOOKUP(C138,'Raw Data'!$A$1:$L$417,2,FALSE)</f>
        <v>1.7749600690362932</v>
      </c>
      <c r="G138" s="84">
        <f t="shared" si="11"/>
        <v>300.23346831330508</v>
      </c>
      <c r="H138" s="12">
        <f t="shared" si="10"/>
        <v>0</v>
      </c>
      <c r="I138">
        <f t="shared" si="9"/>
        <v>1</v>
      </c>
    </row>
    <row r="139" spans="2:9" x14ac:dyDescent="0.3">
      <c r="B139" s="12">
        <f>VLOOKUP(C139,'Raw Data'!$A$1:$I$417,9,FALSE)</f>
        <v>0</v>
      </c>
      <c r="C139">
        <v>82</v>
      </c>
      <c r="D139">
        <f>COUNTIF(Replication!$B$2:$ML$100,C139)</f>
        <v>0</v>
      </c>
      <c r="E139" s="26">
        <f t="shared" si="8"/>
        <v>0</v>
      </c>
      <c r="F139" s="1">
        <f>VLOOKUP(C139,'Raw Data'!$A$1:$L$417,2,FALSE)</f>
        <v>0.73039598797183691</v>
      </c>
      <c r="G139" s="84">
        <f t="shared" si="11"/>
        <v>300.23346831330508</v>
      </c>
      <c r="H139" s="12">
        <f t="shared" si="10"/>
        <v>0</v>
      </c>
      <c r="I139">
        <f t="shared" si="9"/>
        <v>1</v>
      </c>
    </row>
    <row r="140" spans="2:9" x14ac:dyDescent="0.3">
      <c r="B140" s="12">
        <f>VLOOKUP(C140,'Raw Data'!$A$1:$I$417,9,FALSE)</f>
        <v>0</v>
      </c>
      <c r="C140">
        <v>207</v>
      </c>
      <c r="D140">
        <f>COUNTIF(Replication!$B$2:$ML$100,C140)</f>
        <v>0</v>
      </c>
      <c r="E140" s="26">
        <f t="shared" si="8"/>
        <v>0</v>
      </c>
      <c r="F140" s="1">
        <f>VLOOKUP(C140,'Raw Data'!$A$1:$L$417,2,FALSE)</f>
        <v>0.53226354816753751</v>
      </c>
      <c r="G140" s="84">
        <f t="shared" si="11"/>
        <v>300.23346831330508</v>
      </c>
      <c r="H140" s="12">
        <f t="shared" si="10"/>
        <v>0</v>
      </c>
      <c r="I140">
        <f t="shared" si="9"/>
        <v>1</v>
      </c>
    </row>
    <row r="141" spans="2:9" x14ac:dyDescent="0.3">
      <c r="B141" s="12">
        <f>VLOOKUP(C141,'Raw Data'!$A$1:$I$417,9,FALSE)</f>
        <v>1</v>
      </c>
      <c r="C141">
        <v>942</v>
      </c>
      <c r="D141">
        <f>COUNTIF(Replication!$B$2:$ML$100,C141)</f>
        <v>0</v>
      </c>
      <c r="E141" s="26">
        <f t="shared" si="8"/>
        <v>0</v>
      </c>
      <c r="F141" s="1">
        <f>VLOOKUP(C141,'Raw Data'!$A$1:$L$417,2,FALSE)</f>
        <v>5.2245469511436777</v>
      </c>
      <c r="G141" s="84">
        <f t="shared" si="11"/>
        <v>295.0089213621614</v>
      </c>
      <c r="H141" s="12">
        <f t="shared" si="10"/>
        <v>1</v>
      </c>
      <c r="I141">
        <f t="shared" si="9"/>
        <v>1</v>
      </c>
    </row>
    <row r="142" spans="2:9" x14ac:dyDescent="0.3">
      <c r="B142" s="12">
        <f>VLOOKUP(C142,'Raw Data'!$A$1:$I$417,9,FALSE)</f>
        <v>0</v>
      </c>
      <c r="C142">
        <v>558</v>
      </c>
      <c r="D142">
        <f>COUNTIF(Replication!$B$2:$ML$100,C142)</f>
        <v>0</v>
      </c>
      <c r="E142" s="26">
        <f t="shared" si="8"/>
        <v>0</v>
      </c>
      <c r="F142" s="1">
        <f>VLOOKUP(C142,'Raw Data'!$A$1:$L$417,2,FALSE)</f>
        <v>4.2138978092078769</v>
      </c>
      <c r="G142" s="84">
        <f t="shared" si="11"/>
        <v>295.0089213621614</v>
      </c>
      <c r="H142" s="12">
        <f t="shared" si="10"/>
        <v>0</v>
      </c>
      <c r="I142">
        <f t="shared" si="9"/>
        <v>1</v>
      </c>
    </row>
    <row r="143" spans="2:9" x14ac:dyDescent="0.3">
      <c r="B143" s="12">
        <f>VLOOKUP(C143,'Raw Data'!$A$1:$I$417,9,FALSE)</f>
        <v>1</v>
      </c>
      <c r="C143">
        <v>814</v>
      </c>
      <c r="D143">
        <f>COUNTIF(Replication!$B$2:$ML$100,C143)</f>
        <v>0</v>
      </c>
      <c r="E143" s="26">
        <f t="shared" si="8"/>
        <v>0</v>
      </c>
      <c r="F143" s="1">
        <f>VLOOKUP(C143,'Raw Data'!$A$1:$L$417,2,FALSE)</f>
        <v>3.9148214703914741</v>
      </c>
      <c r="G143" s="84">
        <f t="shared" si="11"/>
        <v>291.09409989176993</v>
      </c>
      <c r="H143" s="12">
        <f t="shared" si="10"/>
        <v>1</v>
      </c>
      <c r="I143">
        <f t="shared" si="9"/>
        <v>1</v>
      </c>
    </row>
    <row r="144" spans="2:9" x14ac:dyDescent="0.3">
      <c r="B144" s="12">
        <f>VLOOKUP(C144,'Raw Data'!$A$1:$I$417,9,FALSE)</f>
        <v>1</v>
      </c>
      <c r="C144">
        <v>164</v>
      </c>
      <c r="D144">
        <f>COUNTIF(Replication!$B$2:$ML$100,C144)</f>
        <v>0</v>
      </c>
      <c r="E144" s="26">
        <f t="shared" si="8"/>
        <v>0</v>
      </c>
      <c r="F144" s="1">
        <f>VLOOKUP(C144,'Raw Data'!$A$1:$L$417,2,FALSE)</f>
        <v>5.406941738209686</v>
      </c>
      <c r="G144" s="84">
        <f t="shared" si="11"/>
        <v>285.68715815356023</v>
      </c>
      <c r="H144" s="12">
        <f t="shared" si="10"/>
        <v>1</v>
      </c>
      <c r="I144">
        <f t="shared" si="9"/>
        <v>1</v>
      </c>
    </row>
    <row r="145" spans="2:9" x14ac:dyDescent="0.3">
      <c r="B145" s="12">
        <f>VLOOKUP(C145,'Raw Data'!$A$1:$I$417,9,FALSE)</f>
        <v>1</v>
      </c>
      <c r="C145">
        <v>956</v>
      </c>
      <c r="D145">
        <f>COUNTIF(Replication!$B$2:$ML$100,C145)</f>
        <v>0</v>
      </c>
      <c r="E145" s="26">
        <f t="shared" si="8"/>
        <v>0</v>
      </c>
      <c r="F145" s="1">
        <f>VLOOKUP(C145,'Raw Data'!$A$1:$L$417,2,FALSE)</f>
        <v>4.3910514863551899</v>
      </c>
      <c r="G145" s="84">
        <f t="shared" si="11"/>
        <v>281.29610666720504</v>
      </c>
      <c r="H145" s="12">
        <f t="shared" si="10"/>
        <v>1</v>
      </c>
      <c r="I145">
        <f t="shared" si="9"/>
        <v>1</v>
      </c>
    </row>
    <row r="146" spans="2:9" x14ac:dyDescent="0.3">
      <c r="B146" s="12">
        <f>VLOOKUP(C146,'Raw Data'!$A$1:$I$417,9,FALSE)</f>
        <v>0</v>
      </c>
      <c r="C146">
        <v>38</v>
      </c>
      <c r="D146">
        <f>COUNTIF(Replication!$B$2:$ML$100,C146)</f>
        <v>0</v>
      </c>
      <c r="E146" s="26">
        <f t="shared" si="8"/>
        <v>0</v>
      </c>
      <c r="F146" s="1">
        <f>VLOOKUP(C146,'Raw Data'!$A$1:$L$417,2,FALSE)</f>
        <v>4.99539812661091</v>
      </c>
      <c r="G146" s="84">
        <f t="shared" si="11"/>
        <v>281.29610666720504</v>
      </c>
      <c r="H146" s="12">
        <f t="shared" si="10"/>
        <v>0</v>
      </c>
      <c r="I146">
        <f t="shared" si="9"/>
        <v>1</v>
      </c>
    </row>
    <row r="147" spans="2:9" x14ac:dyDescent="0.3">
      <c r="B147" s="12">
        <f>VLOOKUP(C147,'Raw Data'!$A$1:$I$417,9,FALSE)</f>
        <v>0</v>
      </c>
      <c r="C147">
        <v>927</v>
      </c>
      <c r="D147">
        <f>COUNTIF(Replication!$B$2:$ML$100,C147)</f>
        <v>0</v>
      </c>
      <c r="E147" s="26">
        <f t="shared" si="8"/>
        <v>0</v>
      </c>
      <c r="F147" s="1">
        <f>VLOOKUP(C147,'Raw Data'!$A$1:$L$417,2,FALSE)</f>
        <v>4.2200021846494717</v>
      </c>
      <c r="G147" s="84">
        <f t="shared" si="11"/>
        <v>281.29610666720504</v>
      </c>
      <c r="H147" s="12">
        <f t="shared" si="10"/>
        <v>0</v>
      </c>
      <c r="I147">
        <f t="shared" si="9"/>
        <v>1</v>
      </c>
    </row>
    <row r="148" spans="2:9" x14ac:dyDescent="0.3">
      <c r="B148" s="12">
        <f>VLOOKUP(C148,'Raw Data'!$A$1:$I$417,9,FALSE)</f>
        <v>1</v>
      </c>
      <c r="C148">
        <v>147</v>
      </c>
      <c r="D148">
        <f>COUNTIF(Replication!$B$2:$ML$100,C148)</f>
        <v>0</v>
      </c>
      <c r="E148" s="26">
        <f t="shared" si="8"/>
        <v>0</v>
      </c>
      <c r="F148" s="1">
        <f>VLOOKUP(C148,'Raw Data'!$A$1:$L$417,2,FALSE)</f>
        <v>5.1786536735136863</v>
      </c>
      <c r="G148" s="84">
        <f t="shared" si="11"/>
        <v>276.11745299369136</v>
      </c>
      <c r="H148" s="12">
        <f t="shared" si="10"/>
        <v>1</v>
      </c>
      <c r="I148">
        <f t="shared" si="9"/>
        <v>1</v>
      </c>
    </row>
    <row r="149" spans="2:9" x14ac:dyDescent="0.3">
      <c r="B149" s="12">
        <f>VLOOKUP(C149,'Raw Data'!$A$1:$I$417,9,FALSE)</f>
        <v>0</v>
      </c>
      <c r="C149">
        <v>225</v>
      </c>
      <c r="D149">
        <f>COUNTIF(Replication!$B$2:$ML$100,C149)</f>
        <v>0</v>
      </c>
      <c r="E149" s="26">
        <f t="shared" si="8"/>
        <v>0</v>
      </c>
      <c r="F149" s="1">
        <f>VLOOKUP(C149,'Raw Data'!$A$1:$L$417,2,FALSE)</f>
        <v>2.5037188976248204</v>
      </c>
      <c r="G149" s="84">
        <f t="shared" si="11"/>
        <v>276.11745299369136</v>
      </c>
      <c r="H149" s="12">
        <f t="shared" si="10"/>
        <v>0</v>
      </c>
      <c r="I149">
        <f t="shared" si="9"/>
        <v>1</v>
      </c>
    </row>
    <row r="150" spans="2:9" x14ac:dyDescent="0.3">
      <c r="B150" s="12">
        <f>VLOOKUP(C150,'Raw Data'!$A$1:$I$417,9,FALSE)</f>
        <v>1</v>
      </c>
      <c r="C150">
        <v>287</v>
      </c>
      <c r="D150">
        <f>COUNTIF(Replication!$B$2:$ML$100,C150)</f>
        <v>0</v>
      </c>
      <c r="E150" s="26">
        <f t="shared" si="8"/>
        <v>0</v>
      </c>
      <c r="F150" s="1">
        <f>VLOOKUP(C150,'Raw Data'!$A$1:$L$417,2,FALSE)</f>
        <v>3.6535349616576598</v>
      </c>
      <c r="G150" s="84">
        <f t="shared" si="11"/>
        <v>272.46391803203369</v>
      </c>
      <c r="H150" s="12">
        <f t="shared" si="10"/>
        <v>1</v>
      </c>
      <c r="I150">
        <f t="shared" si="9"/>
        <v>1</v>
      </c>
    </row>
    <row r="151" spans="2:9" x14ac:dyDescent="0.3">
      <c r="B151" s="12">
        <f>VLOOKUP(C151,'Raw Data'!$A$1:$I$417,9,FALSE)</f>
        <v>0</v>
      </c>
      <c r="C151">
        <v>1052</v>
      </c>
      <c r="D151">
        <f>COUNTIF(Replication!$B$2:$ML$100,C151)</f>
        <v>0</v>
      </c>
      <c r="E151" s="26">
        <f t="shared" si="8"/>
        <v>0</v>
      </c>
      <c r="F151" s="1">
        <f>VLOOKUP(C151,'Raw Data'!$A$1:$L$417,2,FALSE)</f>
        <v>2.307131021340326</v>
      </c>
      <c r="G151" s="84">
        <f t="shared" si="11"/>
        <v>272.46391803203369</v>
      </c>
      <c r="H151" s="12">
        <f t="shared" si="10"/>
        <v>0</v>
      </c>
      <c r="I151">
        <f t="shared" si="9"/>
        <v>1</v>
      </c>
    </row>
    <row r="152" spans="2:9" x14ac:dyDescent="0.3">
      <c r="B152" s="12">
        <f>VLOOKUP(C152,'Raw Data'!$A$1:$I$417,9,FALSE)</f>
        <v>0</v>
      </c>
      <c r="C152">
        <v>932</v>
      </c>
      <c r="D152">
        <f>COUNTIF(Replication!$B$2:$ML$100,C152)</f>
        <v>0</v>
      </c>
      <c r="E152" s="26">
        <f t="shared" si="8"/>
        <v>0</v>
      </c>
      <c r="F152" s="1">
        <f>VLOOKUP(C152,'Raw Data'!$A$1:$L$417,2,FALSE)</f>
        <v>3.0412679026231624</v>
      </c>
      <c r="G152" s="84">
        <f t="shared" si="11"/>
        <v>272.46391803203369</v>
      </c>
      <c r="H152" s="12">
        <f t="shared" si="10"/>
        <v>0</v>
      </c>
      <c r="I152">
        <f t="shared" si="9"/>
        <v>1</v>
      </c>
    </row>
    <row r="153" spans="2:9" x14ac:dyDescent="0.3">
      <c r="B153" s="12">
        <f>VLOOKUP(C153,'Raw Data'!$A$1:$I$417,9,FALSE)</f>
        <v>0</v>
      </c>
      <c r="C153">
        <v>578</v>
      </c>
      <c r="D153">
        <f>COUNTIF(Replication!$B$2:$ML$100,C153)</f>
        <v>0</v>
      </c>
      <c r="E153" s="26">
        <f t="shared" si="8"/>
        <v>0</v>
      </c>
      <c r="F153" s="1">
        <f>VLOOKUP(C153,'Raw Data'!$A$1:$L$417,2,FALSE)</f>
        <v>1.1944592939429988</v>
      </c>
      <c r="G153" s="84">
        <f t="shared" si="11"/>
        <v>272.46391803203369</v>
      </c>
      <c r="H153" s="12">
        <f t="shared" si="10"/>
        <v>0</v>
      </c>
      <c r="I153">
        <f t="shared" si="9"/>
        <v>1</v>
      </c>
    </row>
    <row r="154" spans="2:9" x14ac:dyDescent="0.3">
      <c r="B154" s="12">
        <f>VLOOKUP(C154,'Raw Data'!$A$1:$I$417,9,FALSE)</f>
        <v>0</v>
      </c>
      <c r="C154">
        <v>23</v>
      </c>
      <c r="D154">
        <f>COUNTIF(Replication!$B$2:$ML$100,C154)</f>
        <v>0</v>
      </c>
      <c r="E154" s="26">
        <f t="shared" si="8"/>
        <v>0</v>
      </c>
      <c r="F154" s="1">
        <f>VLOOKUP(C154,'Raw Data'!$A$1:$L$417,2,FALSE)</f>
        <v>1.9335633747787351</v>
      </c>
      <c r="G154" s="84">
        <f t="shared" si="11"/>
        <v>272.46391803203369</v>
      </c>
      <c r="H154" s="12">
        <f t="shared" si="10"/>
        <v>0</v>
      </c>
      <c r="I154">
        <f t="shared" si="9"/>
        <v>1</v>
      </c>
    </row>
    <row r="155" spans="2:9" x14ac:dyDescent="0.3">
      <c r="B155" s="12">
        <f>VLOOKUP(C155,'Raw Data'!$A$1:$I$417,9,FALSE)</f>
        <v>0</v>
      </c>
      <c r="C155">
        <v>468</v>
      </c>
      <c r="D155">
        <f>COUNTIF(Replication!$B$2:$ML$100,C155)</f>
        <v>0</v>
      </c>
      <c r="E155" s="26">
        <f t="shared" si="8"/>
        <v>0</v>
      </c>
      <c r="F155" s="1">
        <f>VLOOKUP(C155,'Raw Data'!$A$1:$L$417,2,FALSE)</f>
        <v>2.6929204855717415</v>
      </c>
      <c r="G155" s="84">
        <f t="shared" si="11"/>
        <v>272.46391803203369</v>
      </c>
      <c r="H155" s="12">
        <f t="shared" si="10"/>
        <v>0</v>
      </c>
      <c r="I155">
        <f t="shared" si="9"/>
        <v>1</v>
      </c>
    </row>
    <row r="156" spans="2:9" x14ac:dyDescent="0.3">
      <c r="B156" s="12">
        <f>VLOOKUP(C156,'Raw Data'!$A$1:$I$417,9,FALSE)</f>
        <v>0</v>
      </c>
      <c r="C156">
        <v>1008</v>
      </c>
      <c r="D156">
        <f>COUNTIF(Replication!$B$2:$ML$100,C156)</f>
        <v>0</v>
      </c>
      <c r="E156" s="26">
        <f t="shared" si="8"/>
        <v>0</v>
      </c>
      <c r="F156" s="1">
        <f>VLOOKUP(C156,'Raw Data'!$A$1:$L$417,2,FALSE)</f>
        <v>7.0951245721733178</v>
      </c>
      <c r="G156" s="84">
        <f t="shared" si="11"/>
        <v>272.46391803203369</v>
      </c>
      <c r="H156" s="12">
        <f t="shared" si="10"/>
        <v>0</v>
      </c>
      <c r="I156">
        <f t="shared" si="9"/>
        <v>1</v>
      </c>
    </row>
    <row r="157" spans="2:9" x14ac:dyDescent="0.3">
      <c r="B157" s="12">
        <f>VLOOKUP(C157,'Raw Data'!$A$1:$I$417,9,FALSE)</f>
        <v>0</v>
      </c>
      <c r="C157">
        <v>1097</v>
      </c>
      <c r="D157">
        <f>COUNTIF(Replication!$B$2:$ML$100,C157)</f>
        <v>0</v>
      </c>
      <c r="E157" s="26">
        <f t="shared" si="8"/>
        <v>0</v>
      </c>
      <c r="F157" s="1">
        <f>VLOOKUP(C157,'Raw Data'!$A$1:$L$417,2,FALSE)</f>
        <v>4.3030294604863446</v>
      </c>
      <c r="G157" s="84">
        <f t="shared" si="11"/>
        <v>272.46391803203369</v>
      </c>
      <c r="H157" s="12">
        <f t="shared" si="10"/>
        <v>0</v>
      </c>
      <c r="I157">
        <f t="shared" si="9"/>
        <v>1</v>
      </c>
    </row>
    <row r="158" spans="2:9" x14ac:dyDescent="0.3">
      <c r="B158" s="12">
        <f>VLOOKUP(C158,'Raw Data'!$A$1:$I$417,9,FALSE)</f>
        <v>1</v>
      </c>
      <c r="C158">
        <v>257</v>
      </c>
      <c r="D158">
        <f>COUNTIF(Replication!$B$2:$ML$100,C158)</f>
        <v>0</v>
      </c>
      <c r="E158" s="26">
        <f t="shared" si="8"/>
        <v>0</v>
      </c>
      <c r="F158" s="1">
        <f>VLOOKUP(C158,'Raw Data'!$A$1:$L$417,2,FALSE)</f>
        <v>3.6199716072181056</v>
      </c>
      <c r="G158" s="84">
        <f t="shared" si="11"/>
        <v>268.84394642481556</v>
      </c>
      <c r="H158" s="12">
        <f t="shared" si="10"/>
        <v>1</v>
      </c>
      <c r="I158">
        <f t="shared" si="9"/>
        <v>1</v>
      </c>
    </row>
    <row r="159" spans="2:9" x14ac:dyDescent="0.3">
      <c r="B159" s="12">
        <f>VLOOKUP(C159,'Raw Data'!$A$1:$I$417,9,FALSE)</f>
        <v>0</v>
      </c>
      <c r="C159">
        <v>914</v>
      </c>
      <c r="D159">
        <f>COUNTIF(Replication!$B$2:$ML$100,C159)</f>
        <v>0</v>
      </c>
      <c r="E159" s="26">
        <f t="shared" si="8"/>
        <v>0</v>
      </c>
      <c r="F159" s="1">
        <f>VLOOKUP(C159,'Raw Data'!$A$1:$L$417,2,FALSE)</f>
        <v>4.3693233940604834</v>
      </c>
      <c r="G159" s="84">
        <f t="shared" si="11"/>
        <v>268.84394642481556</v>
      </c>
      <c r="H159" s="12">
        <f t="shared" si="10"/>
        <v>0</v>
      </c>
      <c r="I159">
        <f t="shared" si="9"/>
        <v>1</v>
      </c>
    </row>
    <row r="160" spans="2:9" x14ac:dyDescent="0.3">
      <c r="B160" s="12">
        <f>VLOOKUP(C160,'Raw Data'!$A$1:$I$417,9,FALSE)</f>
        <v>1</v>
      </c>
      <c r="C160">
        <v>655</v>
      </c>
      <c r="D160">
        <f>COUNTIF(Replication!$B$2:$ML$100,C160)</f>
        <v>0</v>
      </c>
      <c r="E160" s="26">
        <f t="shared" si="8"/>
        <v>0</v>
      </c>
      <c r="F160" s="1">
        <f>VLOOKUP(C160,'Raw Data'!$A$1:$L$417,2,FALSE)</f>
        <v>2.8162687031453326</v>
      </c>
      <c r="G160" s="84">
        <f t="shared" si="11"/>
        <v>266.02767772167022</v>
      </c>
      <c r="H160" s="12">
        <f t="shared" si="10"/>
        <v>1</v>
      </c>
      <c r="I160">
        <f t="shared" si="9"/>
        <v>1</v>
      </c>
    </row>
    <row r="161" spans="2:9" x14ac:dyDescent="0.3">
      <c r="B161" s="12">
        <f>VLOOKUP(C161,'Raw Data'!$A$1:$I$417,9,FALSE)</f>
        <v>1</v>
      </c>
      <c r="C161">
        <v>615</v>
      </c>
      <c r="D161">
        <f>COUNTIF(Replication!$B$2:$ML$100,C161)</f>
        <v>0</v>
      </c>
      <c r="E161" s="26">
        <f t="shared" si="8"/>
        <v>0</v>
      </c>
      <c r="F161" s="1">
        <f>VLOOKUP(C161,'Raw Data'!$A$1:$L$417,2,FALSE)</f>
        <v>2.874076141842826</v>
      </c>
      <c r="G161" s="84">
        <f t="shared" si="11"/>
        <v>263.15360157982741</v>
      </c>
      <c r="H161" s="12">
        <f t="shared" si="10"/>
        <v>1</v>
      </c>
      <c r="I161">
        <f t="shared" si="9"/>
        <v>1</v>
      </c>
    </row>
    <row r="162" spans="2:9" x14ac:dyDescent="0.3">
      <c r="B162" s="12">
        <f>VLOOKUP(C162,'Raw Data'!$A$1:$I$417,9,FALSE)</f>
        <v>0</v>
      </c>
      <c r="C162">
        <v>696</v>
      </c>
      <c r="D162">
        <f>COUNTIF(Replication!$B$2:$ML$100,C162)</f>
        <v>0</v>
      </c>
      <c r="E162" s="26">
        <f t="shared" si="8"/>
        <v>0</v>
      </c>
      <c r="F162" s="1">
        <f>VLOOKUP(C162,'Raw Data'!$A$1:$L$417,2,FALSE)</f>
        <v>1.1412266513580283</v>
      </c>
      <c r="G162" s="84">
        <f t="shared" si="11"/>
        <v>263.15360157982741</v>
      </c>
      <c r="H162" s="12">
        <f t="shared" si="10"/>
        <v>0</v>
      </c>
      <c r="I162">
        <f t="shared" si="9"/>
        <v>1</v>
      </c>
    </row>
    <row r="163" spans="2:9" x14ac:dyDescent="0.3">
      <c r="B163" s="12">
        <f>VLOOKUP(C163,'Raw Data'!$A$1:$I$417,9,FALSE)</f>
        <v>1</v>
      </c>
      <c r="C163">
        <v>617</v>
      </c>
      <c r="D163">
        <f>COUNTIF(Replication!$B$2:$ML$100,C163)</f>
        <v>0</v>
      </c>
      <c r="E163" s="26">
        <f t="shared" si="8"/>
        <v>0</v>
      </c>
      <c r="F163" s="1">
        <f>VLOOKUP(C163,'Raw Data'!$A$1:$L$417,2,FALSE)</f>
        <v>2.3678668591491849</v>
      </c>
      <c r="G163" s="84">
        <f t="shared" si="11"/>
        <v>260.78573472067825</v>
      </c>
      <c r="H163" s="12">
        <f t="shared" si="10"/>
        <v>1</v>
      </c>
      <c r="I163">
        <f t="shared" si="9"/>
        <v>1</v>
      </c>
    </row>
    <row r="164" spans="2:9" x14ac:dyDescent="0.3">
      <c r="B164" s="12">
        <f>VLOOKUP(C164,'Raw Data'!$A$1:$I$417,9,FALSE)</f>
        <v>0</v>
      </c>
      <c r="C164">
        <v>311</v>
      </c>
      <c r="D164">
        <f>COUNTIF(Replication!$B$2:$ML$100,C164)</f>
        <v>0</v>
      </c>
      <c r="E164" s="26">
        <f t="shared" si="8"/>
        <v>0</v>
      </c>
      <c r="F164" s="1">
        <f>VLOOKUP(C164,'Raw Data'!$A$1:$L$417,2,FALSE)</f>
        <v>0.94644883652760803</v>
      </c>
      <c r="G164" s="84">
        <f t="shared" si="11"/>
        <v>260.78573472067825</v>
      </c>
      <c r="H164" s="12">
        <f t="shared" si="10"/>
        <v>0</v>
      </c>
      <c r="I164">
        <f t="shared" si="9"/>
        <v>1</v>
      </c>
    </row>
    <row r="165" spans="2:9" x14ac:dyDescent="0.3">
      <c r="B165" s="12">
        <f>VLOOKUP(C165,'Raw Data'!$A$1:$I$417,9,FALSE)</f>
        <v>1</v>
      </c>
      <c r="C165">
        <v>92</v>
      </c>
      <c r="D165">
        <f>COUNTIF(Replication!$B$2:$ML$100,C165)</f>
        <v>0</v>
      </c>
      <c r="E165" s="26">
        <f t="shared" si="8"/>
        <v>0</v>
      </c>
      <c r="F165" s="1">
        <f>VLOOKUP(C165,'Raw Data'!$A$1:$L$417,2,FALSE)</f>
        <v>0.75595603376617082</v>
      </c>
      <c r="G165" s="84">
        <f t="shared" si="11"/>
        <v>260.0297786869121</v>
      </c>
      <c r="H165" s="12">
        <f t="shared" si="10"/>
        <v>1</v>
      </c>
      <c r="I165">
        <f t="shared" si="9"/>
        <v>1</v>
      </c>
    </row>
    <row r="166" spans="2:9" x14ac:dyDescent="0.3">
      <c r="B166" s="12">
        <f>VLOOKUP(C166,'Raw Data'!$A$1:$I$417,9,FALSE)</f>
        <v>1</v>
      </c>
      <c r="C166">
        <v>751</v>
      </c>
      <c r="D166">
        <f>COUNTIF(Replication!$B$2:$ML$100,C166)</f>
        <v>0</v>
      </c>
      <c r="E166" s="26">
        <f t="shared" si="8"/>
        <v>0</v>
      </c>
      <c r="F166" s="1">
        <f>VLOOKUP(C166,'Raw Data'!$A$1:$L$417,2,FALSE)</f>
        <v>2.9625074568140408</v>
      </c>
      <c r="G166" s="84">
        <f t="shared" si="11"/>
        <v>257.06727123009807</v>
      </c>
      <c r="H166" s="12">
        <f t="shared" si="10"/>
        <v>1</v>
      </c>
      <c r="I166">
        <f t="shared" si="9"/>
        <v>1</v>
      </c>
    </row>
    <row r="167" spans="2:9" x14ac:dyDescent="0.3">
      <c r="B167" s="12">
        <f>VLOOKUP(C167,'Raw Data'!$A$1:$I$417,9,FALSE)</f>
        <v>1</v>
      </c>
      <c r="C167">
        <v>283</v>
      </c>
      <c r="D167">
        <f>COUNTIF(Replication!$B$2:$ML$100,C167)</f>
        <v>0</v>
      </c>
      <c r="E167" s="26">
        <f t="shared" si="8"/>
        <v>0</v>
      </c>
      <c r="F167" s="1">
        <f>VLOOKUP(C167,'Raw Data'!$A$1:$L$417,2,FALSE)</f>
        <v>3.8448475510169153</v>
      </c>
      <c r="G167" s="84">
        <f t="shared" si="11"/>
        <v>253.22242367908115</v>
      </c>
      <c r="H167" s="12">
        <f t="shared" si="10"/>
        <v>1</v>
      </c>
      <c r="I167">
        <f t="shared" si="9"/>
        <v>1</v>
      </c>
    </row>
    <row r="168" spans="2:9" x14ac:dyDescent="0.3">
      <c r="B168" s="12">
        <f>VLOOKUP(C168,'Raw Data'!$A$1:$I$417,9,FALSE)</f>
        <v>1</v>
      </c>
      <c r="C168">
        <v>469</v>
      </c>
      <c r="D168">
        <f>COUNTIF(Replication!$B$2:$ML$100,C168)</f>
        <v>0</v>
      </c>
      <c r="E168" s="26">
        <f t="shared" si="8"/>
        <v>0</v>
      </c>
      <c r="F168" s="1">
        <f>VLOOKUP(C168,'Raw Data'!$A$1:$L$417,2,FALSE)</f>
        <v>1.960260648324007</v>
      </c>
      <c r="G168" s="84">
        <f t="shared" si="11"/>
        <v>251.26216303075714</v>
      </c>
      <c r="H168" s="12">
        <f t="shared" si="10"/>
        <v>1</v>
      </c>
      <c r="I168">
        <f t="shared" si="9"/>
        <v>1</v>
      </c>
    </row>
    <row r="169" spans="2:9" x14ac:dyDescent="0.3">
      <c r="B169" s="12">
        <f>VLOOKUP(C169,'Raw Data'!$A$1:$I$417,9,FALSE)</f>
        <v>0</v>
      </c>
      <c r="C169">
        <v>1085</v>
      </c>
      <c r="D169">
        <f>COUNTIF(Replication!$B$2:$ML$100,C169)</f>
        <v>0</v>
      </c>
      <c r="E169" s="26">
        <f t="shared" si="8"/>
        <v>0</v>
      </c>
      <c r="F169" s="1">
        <f>VLOOKUP(C169,'Raw Data'!$A$1:$L$417,2,FALSE)</f>
        <v>1.6363603919986169</v>
      </c>
      <c r="G169" s="84">
        <f t="shared" si="11"/>
        <v>251.26216303075714</v>
      </c>
      <c r="H169" s="12">
        <f t="shared" si="10"/>
        <v>0</v>
      </c>
      <c r="I169">
        <f t="shared" si="9"/>
        <v>1</v>
      </c>
    </row>
    <row r="170" spans="2:9" x14ac:dyDescent="0.3">
      <c r="B170" s="12">
        <f>VLOOKUP(C170,'Raw Data'!$A$1:$I$417,9,FALSE)</f>
        <v>0</v>
      </c>
      <c r="C170">
        <v>261</v>
      </c>
      <c r="D170">
        <f>COUNTIF(Replication!$B$2:$ML$100,C170)</f>
        <v>0</v>
      </c>
      <c r="E170" s="26">
        <f t="shared" si="8"/>
        <v>0</v>
      </c>
      <c r="F170" s="1">
        <f>VLOOKUP(C170,'Raw Data'!$A$1:$L$417,2,FALSE)</f>
        <v>0.80776163024559366</v>
      </c>
      <c r="G170" s="84">
        <f t="shared" si="11"/>
        <v>251.26216303075714</v>
      </c>
      <c r="H170" s="12">
        <f t="shared" si="10"/>
        <v>0</v>
      </c>
      <c r="I170">
        <f t="shared" si="9"/>
        <v>1</v>
      </c>
    </row>
    <row r="171" spans="2:9" x14ac:dyDescent="0.3">
      <c r="B171" s="12">
        <f>VLOOKUP(C171,'Raw Data'!$A$1:$I$417,9,FALSE)</f>
        <v>1</v>
      </c>
      <c r="C171">
        <v>636</v>
      </c>
      <c r="D171">
        <f>COUNTIF(Replication!$B$2:$ML$100,C171)</f>
        <v>0</v>
      </c>
      <c r="E171" s="26">
        <f t="shared" si="8"/>
        <v>0</v>
      </c>
      <c r="F171" s="1">
        <f>VLOOKUP(C171,'Raw Data'!$A$1:$L$417,2,FALSE)</f>
        <v>0.85906094707500658</v>
      </c>
      <c r="G171" s="84">
        <f t="shared" si="11"/>
        <v>250.40310208368214</v>
      </c>
      <c r="H171" s="12">
        <f t="shared" si="10"/>
        <v>1</v>
      </c>
      <c r="I171">
        <f t="shared" si="9"/>
        <v>1</v>
      </c>
    </row>
    <row r="172" spans="2:9" x14ac:dyDescent="0.3">
      <c r="B172" s="12">
        <f>VLOOKUP(C172,'Raw Data'!$A$1:$I$417,9,FALSE)</f>
        <v>1</v>
      </c>
      <c r="C172">
        <v>567</v>
      </c>
      <c r="D172">
        <f>COUNTIF(Replication!$B$2:$ML$100,C172)</f>
        <v>0</v>
      </c>
      <c r="E172" s="26">
        <f t="shared" si="8"/>
        <v>0</v>
      </c>
      <c r="F172" s="1">
        <f>VLOOKUP(C172,'Raw Data'!$A$1:$L$417,2,FALSE)</f>
        <v>5.938837137752337</v>
      </c>
      <c r="G172" s="84">
        <f t="shared" si="11"/>
        <v>244.46426494592981</v>
      </c>
      <c r="H172" s="12">
        <f t="shared" si="10"/>
        <v>1</v>
      </c>
      <c r="I172">
        <f t="shared" si="9"/>
        <v>1</v>
      </c>
    </row>
    <row r="173" spans="2:9" x14ac:dyDescent="0.3">
      <c r="B173" s="12">
        <f>VLOOKUP(C173,'Raw Data'!$A$1:$I$417,9,FALSE)</f>
        <v>0</v>
      </c>
      <c r="C173">
        <v>869</v>
      </c>
      <c r="D173">
        <f>COUNTIF(Replication!$B$2:$ML$100,C173)</f>
        <v>0</v>
      </c>
      <c r="E173" s="26">
        <f t="shared" si="8"/>
        <v>0</v>
      </c>
      <c r="F173" s="1">
        <f>VLOOKUP(C173,'Raw Data'!$A$1:$L$417,2,FALSE)</f>
        <v>5.7529976006271921</v>
      </c>
      <c r="G173" s="84">
        <f t="shared" si="11"/>
        <v>244.46426494592981</v>
      </c>
      <c r="H173" s="12">
        <f t="shared" si="10"/>
        <v>0</v>
      </c>
      <c r="I173">
        <f t="shared" si="9"/>
        <v>1</v>
      </c>
    </row>
    <row r="174" spans="2:9" x14ac:dyDescent="0.3">
      <c r="B174" s="12">
        <f>VLOOKUP(C174,'Raw Data'!$A$1:$I$417,9,FALSE)</f>
        <v>1</v>
      </c>
      <c r="C174">
        <v>1094</v>
      </c>
      <c r="D174">
        <f>COUNTIF(Replication!$B$2:$ML$100,C174)</f>
        <v>0</v>
      </c>
      <c r="E174" s="26">
        <f t="shared" si="8"/>
        <v>0</v>
      </c>
      <c r="F174" s="1">
        <f>VLOOKUP(C174,'Raw Data'!$A$1:$L$417,2,FALSE)</f>
        <v>3.441588237306096</v>
      </c>
      <c r="G174" s="84">
        <f t="shared" si="11"/>
        <v>241.02267670862372</v>
      </c>
      <c r="H174" s="12">
        <f t="shared" si="10"/>
        <v>1</v>
      </c>
      <c r="I174">
        <f t="shared" si="9"/>
        <v>1</v>
      </c>
    </row>
    <row r="175" spans="2:9" x14ac:dyDescent="0.3">
      <c r="B175" s="12">
        <f>VLOOKUP(C175,'Raw Data'!$A$1:$I$417,9,FALSE)</f>
        <v>0</v>
      </c>
      <c r="C175">
        <v>541</v>
      </c>
      <c r="D175">
        <f>COUNTIF(Replication!$B$2:$ML$100,C175)</f>
        <v>0</v>
      </c>
      <c r="E175" s="26">
        <f t="shared" si="8"/>
        <v>0</v>
      </c>
      <c r="F175" s="1">
        <f>VLOOKUP(C175,'Raw Data'!$A$1:$L$417,2,FALSE)</f>
        <v>3.6651210525922293</v>
      </c>
      <c r="G175" s="84">
        <f t="shared" si="11"/>
        <v>241.02267670862372</v>
      </c>
      <c r="H175" s="12">
        <f t="shared" si="10"/>
        <v>0</v>
      </c>
      <c r="I175">
        <f t="shared" si="9"/>
        <v>1</v>
      </c>
    </row>
    <row r="176" spans="2:9" x14ac:dyDescent="0.3">
      <c r="B176" s="12">
        <f>VLOOKUP(C176,'Raw Data'!$A$1:$I$417,9,FALSE)</f>
        <v>0</v>
      </c>
      <c r="C176">
        <v>651</v>
      </c>
      <c r="D176">
        <f>COUNTIF(Replication!$B$2:$ML$100,C176)</f>
        <v>0</v>
      </c>
      <c r="E176" s="26">
        <f t="shared" si="8"/>
        <v>0</v>
      </c>
      <c r="F176" s="1">
        <f>VLOOKUP(C176,'Raw Data'!$A$1:$L$417,2,FALSE)</f>
        <v>4.4233048154916244</v>
      </c>
      <c r="G176" s="84">
        <f t="shared" si="11"/>
        <v>241.02267670862372</v>
      </c>
      <c r="H176" s="12">
        <f t="shared" si="10"/>
        <v>0</v>
      </c>
      <c r="I176">
        <f t="shared" si="9"/>
        <v>1</v>
      </c>
    </row>
    <row r="177" spans="2:9" x14ac:dyDescent="0.3">
      <c r="B177" s="12">
        <f>VLOOKUP(C177,'Raw Data'!$A$1:$I$417,9,FALSE)</f>
        <v>1</v>
      </c>
      <c r="C177">
        <v>406</v>
      </c>
      <c r="D177">
        <f>COUNTIF(Replication!$B$2:$ML$100,C177)</f>
        <v>0</v>
      </c>
      <c r="E177" s="26">
        <f t="shared" si="8"/>
        <v>0</v>
      </c>
      <c r="F177" s="1">
        <f>VLOOKUP(C177,'Raw Data'!$A$1:$L$417,2,FALSE)</f>
        <v>4.1751882056325158</v>
      </c>
      <c r="G177" s="84">
        <f t="shared" si="11"/>
        <v>236.84748850299121</v>
      </c>
      <c r="H177" s="12">
        <f t="shared" si="10"/>
        <v>1</v>
      </c>
      <c r="I177">
        <f t="shared" si="9"/>
        <v>1</v>
      </c>
    </row>
    <row r="178" spans="2:9" x14ac:dyDescent="0.3">
      <c r="B178" s="12">
        <f>VLOOKUP(C178,'Raw Data'!$A$1:$I$417,9,FALSE)</f>
        <v>1</v>
      </c>
      <c r="C178">
        <v>898</v>
      </c>
      <c r="D178">
        <f>COUNTIF(Replication!$B$2:$ML$100,C178)</f>
        <v>0</v>
      </c>
      <c r="E178" s="26">
        <f t="shared" si="8"/>
        <v>0</v>
      </c>
      <c r="F178" s="1">
        <f>VLOOKUP(C178,'Raw Data'!$A$1:$L$417,2,FALSE)</f>
        <v>2.442217949644212</v>
      </c>
      <c r="G178" s="84">
        <f t="shared" si="11"/>
        <v>234.40527055334701</v>
      </c>
      <c r="H178" s="12">
        <f t="shared" si="10"/>
        <v>1</v>
      </c>
      <c r="I178">
        <f t="shared" si="9"/>
        <v>1</v>
      </c>
    </row>
    <row r="179" spans="2:9" x14ac:dyDescent="0.3">
      <c r="B179" s="12">
        <f>VLOOKUP(C179,'Raw Data'!$A$1:$I$417,9,FALSE)</f>
        <v>0</v>
      </c>
      <c r="C179">
        <v>986</v>
      </c>
      <c r="D179">
        <f>COUNTIF(Replication!$B$2:$ML$100,C179)</f>
        <v>0</v>
      </c>
      <c r="E179" s="26">
        <f t="shared" si="8"/>
        <v>0</v>
      </c>
      <c r="F179" s="1">
        <f>VLOOKUP(C179,'Raw Data'!$A$1:$L$417,2,FALSE)</f>
        <v>2.4115912824182164</v>
      </c>
      <c r="G179" s="84">
        <f t="shared" si="11"/>
        <v>234.40527055334701</v>
      </c>
      <c r="H179" s="12">
        <f t="shared" si="10"/>
        <v>0</v>
      </c>
      <c r="I179">
        <f t="shared" si="9"/>
        <v>1</v>
      </c>
    </row>
    <row r="180" spans="2:9" x14ac:dyDescent="0.3">
      <c r="B180" s="12">
        <f>VLOOKUP(C180,'Raw Data'!$A$1:$I$417,9,FALSE)</f>
        <v>0</v>
      </c>
      <c r="C180">
        <v>136</v>
      </c>
      <c r="D180">
        <f>COUNTIF(Replication!$B$2:$ML$100,C180)</f>
        <v>0</v>
      </c>
      <c r="E180" s="26">
        <f t="shared" si="8"/>
        <v>0</v>
      </c>
      <c r="F180" s="1">
        <f>VLOOKUP(C180,'Raw Data'!$A$1:$L$417,2,FALSE)</f>
        <v>3.3255229327175782</v>
      </c>
      <c r="G180" s="84">
        <f t="shared" si="11"/>
        <v>234.40527055334701</v>
      </c>
      <c r="H180" s="12">
        <f t="shared" si="10"/>
        <v>0</v>
      </c>
      <c r="I180">
        <f t="shared" si="9"/>
        <v>1</v>
      </c>
    </row>
    <row r="181" spans="2:9" x14ac:dyDescent="0.3">
      <c r="B181" s="12">
        <f>VLOOKUP(C181,'Raw Data'!$A$1:$I$417,9,FALSE)</f>
        <v>1</v>
      </c>
      <c r="C181">
        <v>357</v>
      </c>
      <c r="D181">
        <f>COUNTIF(Replication!$B$2:$ML$100,C181)</f>
        <v>0</v>
      </c>
      <c r="E181" s="26">
        <f t="shared" si="8"/>
        <v>0</v>
      </c>
      <c r="F181" s="1">
        <f>VLOOKUP(C181,'Raw Data'!$A$1:$L$417,2,FALSE)</f>
        <v>1.9687143421605768</v>
      </c>
      <c r="G181" s="84">
        <f t="shared" si="11"/>
        <v>232.43655621118643</v>
      </c>
      <c r="H181" s="12">
        <f t="shared" si="10"/>
        <v>1</v>
      </c>
      <c r="I181">
        <f t="shared" si="9"/>
        <v>1</v>
      </c>
    </row>
    <row r="182" spans="2:9" x14ac:dyDescent="0.3">
      <c r="B182" s="12">
        <f>VLOOKUP(C182,'Raw Data'!$A$1:$I$417,9,FALSE)</f>
        <v>1</v>
      </c>
      <c r="C182">
        <v>658</v>
      </c>
      <c r="D182">
        <f>COUNTIF(Replication!$B$2:$ML$100,C182)</f>
        <v>0</v>
      </c>
      <c r="E182" s="26">
        <f t="shared" si="8"/>
        <v>0</v>
      </c>
      <c r="F182" s="1">
        <f>VLOOKUP(C182,'Raw Data'!$A$1:$L$417,2,FALSE)</f>
        <v>2.334506453224753</v>
      </c>
      <c r="G182" s="84">
        <f t="shared" si="11"/>
        <v>230.10204975796168</v>
      </c>
      <c r="H182" s="12">
        <f t="shared" si="10"/>
        <v>1</v>
      </c>
      <c r="I182">
        <f t="shared" si="9"/>
        <v>1</v>
      </c>
    </row>
    <row r="183" spans="2:9" x14ac:dyDescent="0.3">
      <c r="B183" s="12">
        <f>VLOOKUP(C183,'Raw Data'!$A$1:$I$417,9,FALSE)</f>
        <v>1</v>
      </c>
      <c r="C183">
        <v>755</v>
      </c>
      <c r="D183">
        <f>COUNTIF(Replication!$B$2:$ML$100,C183)</f>
        <v>0</v>
      </c>
      <c r="E183" s="26">
        <f t="shared" si="8"/>
        <v>0</v>
      </c>
      <c r="F183" s="1">
        <f>VLOOKUP(C183,'Raw Data'!$A$1:$L$417,2,FALSE)</f>
        <v>0.53430713571528288</v>
      </c>
      <c r="G183" s="84">
        <f t="shared" si="11"/>
        <v>229.56774262224639</v>
      </c>
      <c r="H183" s="12">
        <f t="shared" si="10"/>
        <v>1</v>
      </c>
      <c r="I183">
        <f t="shared" si="9"/>
        <v>1</v>
      </c>
    </row>
    <row r="184" spans="2:9" x14ac:dyDescent="0.3">
      <c r="B184" s="12">
        <f>VLOOKUP(C184,'Raw Data'!$A$1:$I$417,9,FALSE)</f>
        <v>1</v>
      </c>
      <c r="C184">
        <v>19</v>
      </c>
      <c r="D184">
        <f>COUNTIF(Replication!$B$2:$ML$100,C184)</f>
        <v>0</v>
      </c>
      <c r="E184" s="26">
        <f t="shared" si="8"/>
        <v>0</v>
      </c>
      <c r="F184" s="1">
        <f>VLOOKUP(C184,'Raw Data'!$A$1:$L$417,2,FALSE)</f>
        <v>6.8546947112993406</v>
      </c>
      <c r="G184" s="84">
        <f t="shared" si="11"/>
        <v>222.71304791094704</v>
      </c>
      <c r="H184" s="12">
        <f t="shared" si="10"/>
        <v>1</v>
      </c>
      <c r="I184">
        <f t="shared" si="9"/>
        <v>1</v>
      </c>
    </row>
    <row r="185" spans="2:9" x14ac:dyDescent="0.3">
      <c r="B185" s="12">
        <f>VLOOKUP(C185,'Raw Data'!$A$1:$I$417,9,FALSE)</f>
        <v>0</v>
      </c>
      <c r="C185">
        <v>955</v>
      </c>
      <c r="D185">
        <f>COUNTIF(Replication!$B$2:$ML$100,C185)</f>
        <v>0</v>
      </c>
      <c r="E185" s="26">
        <f t="shared" si="8"/>
        <v>0</v>
      </c>
      <c r="F185" s="1">
        <f>VLOOKUP(C185,'Raw Data'!$A$1:$L$417,2,FALSE)</f>
        <v>6.3337369649412389</v>
      </c>
      <c r="G185" s="84">
        <f t="shared" si="11"/>
        <v>222.71304791094704</v>
      </c>
      <c r="H185" s="12">
        <f t="shared" si="10"/>
        <v>0</v>
      </c>
      <c r="I185">
        <f t="shared" si="9"/>
        <v>1</v>
      </c>
    </row>
    <row r="186" spans="2:9" x14ac:dyDescent="0.3">
      <c r="B186" s="12">
        <f>VLOOKUP(C186,'Raw Data'!$A$1:$I$417,9,FALSE)</f>
        <v>1</v>
      </c>
      <c r="C186">
        <v>58</v>
      </c>
      <c r="D186">
        <f>COUNTIF(Replication!$B$2:$ML$100,C186)</f>
        <v>0</v>
      </c>
      <c r="E186" s="26">
        <f t="shared" si="8"/>
        <v>0</v>
      </c>
      <c r="F186" s="1">
        <f>VLOOKUP(C186,'Raw Data'!$A$1:$L$417,2,FALSE)</f>
        <v>4.8808439805120312</v>
      </c>
      <c r="G186" s="84">
        <f t="shared" si="11"/>
        <v>217.83220393043501</v>
      </c>
      <c r="H186" s="12">
        <f t="shared" si="10"/>
        <v>1</v>
      </c>
      <c r="I186">
        <f t="shared" si="9"/>
        <v>1</v>
      </c>
    </row>
    <row r="187" spans="2:9" x14ac:dyDescent="0.3">
      <c r="B187" s="12">
        <f>VLOOKUP(C187,'Raw Data'!$A$1:$I$417,9,FALSE)</f>
        <v>0</v>
      </c>
      <c r="C187">
        <v>349</v>
      </c>
      <c r="D187">
        <f>COUNTIF(Replication!$B$2:$ML$100,C187)</f>
        <v>0</v>
      </c>
      <c r="E187" s="26">
        <f t="shared" si="8"/>
        <v>0</v>
      </c>
      <c r="F187" s="1">
        <f>VLOOKUP(C187,'Raw Data'!$A$1:$L$417,2,FALSE)</f>
        <v>3.7569017588142719</v>
      </c>
      <c r="G187" s="84">
        <f t="shared" si="11"/>
        <v>217.83220393043501</v>
      </c>
      <c r="H187" s="12">
        <f t="shared" si="10"/>
        <v>0</v>
      </c>
      <c r="I187">
        <f t="shared" si="9"/>
        <v>1</v>
      </c>
    </row>
    <row r="188" spans="2:9" x14ac:dyDescent="0.3">
      <c r="B188" s="12">
        <f>VLOOKUP(C188,'Raw Data'!$A$1:$I$417,9,FALSE)</f>
        <v>1</v>
      </c>
      <c r="C188">
        <v>811</v>
      </c>
      <c r="D188">
        <f>COUNTIF(Replication!$B$2:$ML$100,C188)</f>
        <v>0</v>
      </c>
      <c r="E188" s="26">
        <f t="shared" si="8"/>
        <v>0</v>
      </c>
      <c r="F188" s="1">
        <f>VLOOKUP(C188,'Raw Data'!$A$1:$L$417,2,FALSE)</f>
        <v>5.8606499311598288</v>
      </c>
      <c r="G188" s="84">
        <f t="shared" si="11"/>
        <v>211.97155399927519</v>
      </c>
      <c r="H188" s="12">
        <f t="shared" si="10"/>
        <v>1</v>
      </c>
      <c r="I188">
        <f t="shared" si="9"/>
        <v>1</v>
      </c>
    </row>
    <row r="189" spans="2:9" x14ac:dyDescent="0.3">
      <c r="B189" s="12">
        <f>VLOOKUP(C189,'Raw Data'!$A$1:$I$417,9,FALSE)</f>
        <v>1</v>
      </c>
      <c r="C189">
        <v>98</v>
      </c>
      <c r="D189">
        <f>COUNTIF(Replication!$B$2:$ML$100,C189)</f>
        <v>0</v>
      </c>
      <c r="E189" s="26">
        <f t="shared" si="8"/>
        <v>0</v>
      </c>
      <c r="F189" s="1">
        <f>VLOOKUP(C189,'Raw Data'!$A$1:$L$417,2,FALSE)</f>
        <v>5.6878046898335022</v>
      </c>
      <c r="G189" s="84">
        <f t="shared" si="11"/>
        <v>206.28374930944167</v>
      </c>
      <c r="H189" s="12">
        <f t="shared" si="10"/>
        <v>1</v>
      </c>
      <c r="I189">
        <f t="shared" si="9"/>
        <v>1</v>
      </c>
    </row>
    <row r="190" spans="2:9" x14ac:dyDescent="0.3">
      <c r="B190" s="12">
        <f>VLOOKUP(C190,'Raw Data'!$A$1:$I$417,9,FALSE)</f>
        <v>0</v>
      </c>
      <c r="C190">
        <v>390</v>
      </c>
      <c r="D190">
        <f>COUNTIF(Replication!$B$2:$ML$100,C190)</f>
        <v>0</v>
      </c>
      <c r="E190" s="26">
        <f t="shared" si="8"/>
        <v>0</v>
      </c>
      <c r="F190" s="1">
        <f>VLOOKUP(C190,'Raw Data'!$A$1:$L$417,2,FALSE)</f>
        <v>4.7303052822952889</v>
      </c>
      <c r="G190" s="84">
        <f t="shared" si="11"/>
        <v>206.28374930944167</v>
      </c>
      <c r="H190" s="12">
        <f t="shared" si="10"/>
        <v>0</v>
      </c>
      <c r="I190">
        <f t="shared" si="9"/>
        <v>1</v>
      </c>
    </row>
    <row r="191" spans="2:9" x14ac:dyDescent="0.3">
      <c r="B191" s="12">
        <f>VLOOKUP(C191,'Raw Data'!$A$1:$I$417,9,FALSE)</f>
        <v>1</v>
      </c>
      <c r="C191">
        <v>470</v>
      </c>
      <c r="D191">
        <f>COUNTIF(Replication!$B$2:$ML$100,C191)</f>
        <v>0</v>
      </c>
      <c r="E191" s="26">
        <f t="shared" si="8"/>
        <v>0</v>
      </c>
      <c r="F191" s="1">
        <f>VLOOKUP(C191,'Raw Data'!$A$1:$L$417,2,FALSE)</f>
        <v>6.9519228468531882</v>
      </c>
      <c r="G191" s="84">
        <f t="shared" si="11"/>
        <v>199.33182646258848</v>
      </c>
      <c r="H191" s="12">
        <f t="shared" si="10"/>
        <v>1</v>
      </c>
      <c r="I191">
        <f t="shared" si="9"/>
        <v>1</v>
      </c>
    </row>
    <row r="192" spans="2:9" x14ac:dyDescent="0.3">
      <c r="B192" s="12">
        <f>VLOOKUP(C192,'Raw Data'!$A$1:$I$417,9,FALSE)</f>
        <v>0</v>
      </c>
      <c r="C192">
        <v>376</v>
      </c>
      <c r="D192">
        <f>COUNTIF(Replication!$B$2:$ML$100,C192)</f>
        <v>0</v>
      </c>
      <c r="E192" s="26">
        <f t="shared" si="8"/>
        <v>0</v>
      </c>
      <c r="F192" s="1">
        <f>VLOOKUP(C192,'Raw Data'!$A$1:$L$417,2,FALSE)</f>
        <v>4.1996041412701492</v>
      </c>
      <c r="G192" s="84">
        <f t="shared" si="11"/>
        <v>199.33182646258848</v>
      </c>
      <c r="H192" s="12">
        <f t="shared" si="10"/>
        <v>0</v>
      </c>
      <c r="I192">
        <f t="shared" si="9"/>
        <v>1</v>
      </c>
    </row>
    <row r="193" spans="2:9" x14ac:dyDescent="0.3">
      <c r="B193" s="12">
        <f>VLOOKUP(C193,'Raw Data'!$A$1:$I$417,9,FALSE)</f>
        <v>0</v>
      </c>
      <c r="C193">
        <v>627</v>
      </c>
      <c r="D193">
        <f>COUNTIF(Replication!$B$2:$ML$100,C193)</f>
        <v>0</v>
      </c>
      <c r="E193" s="26">
        <f t="shared" si="8"/>
        <v>0</v>
      </c>
      <c r="F193" s="1">
        <f>VLOOKUP(C193,'Raw Data'!$A$1:$L$417,2,FALSE)</f>
        <v>3.7651571273749482</v>
      </c>
      <c r="G193" s="84">
        <f t="shared" si="11"/>
        <v>199.33182646258848</v>
      </c>
      <c r="H193" s="12">
        <f t="shared" si="10"/>
        <v>0</v>
      </c>
      <c r="I193">
        <f t="shared" si="9"/>
        <v>1</v>
      </c>
    </row>
    <row r="194" spans="2:9" x14ac:dyDescent="0.3">
      <c r="B194" s="12">
        <f>VLOOKUP(C194,'Raw Data'!$A$1:$I$417,9,FALSE)</f>
        <v>0</v>
      </c>
      <c r="C194">
        <v>442</v>
      </c>
      <c r="D194">
        <f>COUNTIF(Replication!$B$2:$ML$100,C194)</f>
        <v>0</v>
      </c>
      <c r="E194" s="26">
        <f t="shared" ref="E194:E257" si="12">D194/50</f>
        <v>0</v>
      </c>
      <c r="F194" s="1">
        <f>VLOOKUP(C194,'Raw Data'!$A$1:$L$417,2,FALSE)</f>
        <v>6.8237014421710338</v>
      </c>
      <c r="G194" s="84">
        <f t="shared" si="11"/>
        <v>199.33182646258848</v>
      </c>
      <c r="H194" s="12">
        <f t="shared" si="10"/>
        <v>0</v>
      </c>
      <c r="I194">
        <f t="shared" ref="I194:I257" si="13">IF(H194=B194,1,0)</f>
        <v>1</v>
      </c>
    </row>
    <row r="195" spans="2:9" x14ac:dyDescent="0.3">
      <c r="B195" s="12">
        <f>VLOOKUP(C195,'Raw Data'!$A$1:$I$417,9,FALSE)</f>
        <v>1</v>
      </c>
      <c r="C195">
        <v>351</v>
      </c>
      <c r="D195">
        <f>COUNTIF(Replication!$B$2:$ML$100,C195)</f>
        <v>0</v>
      </c>
      <c r="E195" s="26">
        <f t="shared" si="12"/>
        <v>0</v>
      </c>
      <c r="F195" s="1">
        <f>VLOOKUP(C195,'Raw Data'!$A$1:$L$417,2,FALSE)</f>
        <v>4.1220954974993038</v>
      </c>
      <c r="G195" s="84">
        <f t="shared" si="11"/>
        <v>195.20973096508916</v>
      </c>
      <c r="H195" s="12">
        <f t="shared" ref="H195:H258" si="14">IF(G195&gt;0,IF(B195&gt;0,1,0),0)</f>
        <v>1</v>
      </c>
      <c r="I195">
        <f t="shared" si="13"/>
        <v>1</v>
      </c>
    </row>
    <row r="196" spans="2:9" x14ac:dyDescent="0.3">
      <c r="B196" s="12">
        <f>VLOOKUP(C196,'Raw Data'!$A$1:$I$417,9,FALSE)</f>
        <v>0</v>
      </c>
      <c r="C196">
        <v>633</v>
      </c>
      <c r="D196">
        <f>COUNTIF(Replication!$B$2:$ML$100,C196)</f>
        <v>0</v>
      </c>
      <c r="E196" s="26">
        <f t="shared" si="12"/>
        <v>0</v>
      </c>
      <c r="F196" s="1">
        <f>VLOOKUP(C196,'Raw Data'!$A$1:$L$417,2,FALSE)</f>
        <v>3.3668647998093402</v>
      </c>
      <c r="G196" s="84">
        <f t="shared" ref="G196:G259" si="15">IF(B196&gt;0,G195-F196,G195)</f>
        <v>195.20973096508916</v>
      </c>
      <c r="H196" s="12">
        <f t="shared" si="14"/>
        <v>0</v>
      </c>
      <c r="I196">
        <f t="shared" si="13"/>
        <v>1</v>
      </c>
    </row>
    <row r="197" spans="2:9" x14ac:dyDescent="0.3">
      <c r="B197" s="12">
        <f>VLOOKUP(C197,'Raw Data'!$A$1:$I$417,9,FALSE)</f>
        <v>0</v>
      </c>
      <c r="C197">
        <v>1063</v>
      </c>
      <c r="D197">
        <f>COUNTIF(Replication!$B$2:$ML$100,C197)</f>
        <v>0</v>
      </c>
      <c r="E197" s="26">
        <f t="shared" si="12"/>
        <v>0</v>
      </c>
      <c r="F197" s="1">
        <f>VLOOKUP(C197,'Raw Data'!$A$1:$L$417,2,FALSE)</f>
        <v>2.7950238911642353</v>
      </c>
      <c r="G197" s="84">
        <f t="shared" si="15"/>
        <v>195.20973096508916</v>
      </c>
      <c r="H197" s="12">
        <f t="shared" si="14"/>
        <v>0</v>
      </c>
      <c r="I197">
        <f t="shared" si="13"/>
        <v>1</v>
      </c>
    </row>
    <row r="198" spans="2:9" x14ac:dyDescent="0.3">
      <c r="B198" s="12">
        <f>VLOOKUP(C198,'Raw Data'!$A$1:$I$417,9,FALSE)</f>
        <v>0</v>
      </c>
      <c r="C198">
        <v>519</v>
      </c>
      <c r="D198">
        <f>COUNTIF(Replication!$B$2:$ML$100,C198)</f>
        <v>0</v>
      </c>
      <c r="E198" s="26">
        <f t="shared" si="12"/>
        <v>0</v>
      </c>
      <c r="F198" s="1">
        <f>VLOOKUP(C198,'Raw Data'!$A$1:$L$417,2,FALSE)</f>
        <v>1.7129214016216177</v>
      </c>
      <c r="G198" s="84">
        <f t="shared" si="15"/>
        <v>195.20973096508916</v>
      </c>
      <c r="H198" s="12">
        <f t="shared" si="14"/>
        <v>0</v>
      </c>
      <c r="I198">
        <f t="shared" si="13"/>
        <v>1</v>
      </c>
    </row>
    <row r="199" spans="2:9" x14ac:dyDescent="0.3">
      <c r="B199" s="12">
        <f>VLOOKUP(C199,'Raw Data'!$A$1:$I$417,9,FALSE)</f>
        <v>1</v>
      </c>
      <c r="C199">
        <v>974</v>
      </c>
      <c r="D199">
        <f>COUNTIF(Replication!$B$2:$ML$100,C199)</f>
        <v>0</v>
      </c>
      <c r="E199" s="26">
        <f t="shared" si="12"/>
        <v>0</v>
      </c>
      <c r="F199" s="1">
        <f>VLOOKUP(C199,'Raw Data'!$A$1:$L$417,2,FALSE)</f>
        <v>2.6042552090840445</v>
      </c>
      <c r="G199" s="84">
        <f t="shared" si="15"/>
        <v>192.60547575600512</v>
      </c>
      <c r="H199" s="12">
        <f t="shared" si="14"/>
        <v>1</v>
      </c>
      <c r="I199">
        <f t="shared" si="13"/>
        <v>1</v>
      </c>
    </row>
    <row r="200" spans="2:9" x14ac:dyDescent="0.3">
      <c r="B200" s="12">
        <f>VLOOKUP(C200,'Raw Data'!$A$1:$I$417,9,FALSE)</f>
        <v>0</v>
      </c>
      <c r="C200">
        <v>85</v>
      </c>
      <c r="D200">
        <f>COUNTIF(Replication!$B$2:$ML$100,C200)</f>
        <v>0</v>
      </c>
      <c r="E200" s="26">
        <f t="shared" si="12"/>
        <v>0</v>
      </c>
      <c r="F200" s="1">
        <f>VLOOKUP(C200,'Raw Data'!$A$1:$L$417,2,FALSE)</f>
        <v>1.5306598931066917</v>
      </c>
      <c r="G200" s="84">
        <f t="shared" si="15"/>
        <v>192.60547575600512</v>
      </c>
      <c r="H200" s="12">
        <f t="shared" si="14"/>
        <v>0</v>
      </c>
      <c r="I200">
        <f t="shared" si="13"/>
        <v>1</v>
      </c>
    </row>
    <row r="201" spans="2:9" x14ac:dyDescent="0.3">
      <c r="B201" s="12">
        <f>VLOOKUP(C201,'Raw Data'!$A$1:$I$417,9,FALSE)</f>
        <v>0</v>
      </c>
      <c r="C201">
        <v>893</v>
      </c>
      <c r="D201">
        <f>COUNTIF(Replication!$B$2:$ML$100,C201)</f>
        <v>0</v>
      </c>
      <c r="E201" s="26">
        <f t="shared" si="12"/>
        <v>0</v>
      </c>
      <c r="F201" s="1">
        <f>VLOOKUP(C201,'Raw Data'!$A$1:$L$417,2,FALSE)</f>
        <v>1.8739554197004249</v>
      </c>
      <c r="G201" s="84">
        <f t="shared" si="15"/>
        <v>192.60547575600512</v>
      </c>
      <c r="H201" s="12">
        <f t="shared" si="14"/>
        <v>0</v>
      </c>
      <c r="I201">
        <f t="shared" si="13"/>
        <v>1</v>
      </c>
    </row>
    <row r="202" spans="2:9" x14ac:dyDescent="0.3">
      <c r="B202" s="12">
        <f>VLOOKUP(C202,'Raw Data'!$A$1:$I$417,9,FALSE)</f>
        <v>0</v>
      </c>
      <c r="C202">
        <v>359</v>
      </c>
      <c r="D202">
        <f>COUNTIF(Replication!$B$2:$ML$100,C202)</f>
        <v>0</v>
      </c>
      <c r="E202" s="26">
        <f t="shared" si="12"/>
        <v>0</v>
      </c>
      <c r="F202" s="1">
        <f>VLOOKUP(C202,'Raw Data'!$A$1:$L$417,2,FALSE)</f>
        <v>1.7982803515712631</v>
      </c>
      <c r="G202" s="84">
        <f t="shared" si="15"/>
        <v>192.60547575600512</v>
      </c>
      <c r="H202" s="12">
        <f t="shared" si="14"/>
        <v>0</v>
      </c>
      <c r="I202">
        <f t="shared" si="13"/>
        <v>1</v>
      </c>
    </row>
    <row r="203" spans="2:9" x14ac:dyDescent="0.3">
      <c r="B203" s="12">
        <f>VLOOKUP(C203,'Raw Data'!$A$1:$I$417,9,FALSE)</f>
        <v>0</v>
      </c>
      <c r="C203">
        <v>480</v>
      </c>
      <c r="D203">
        <f>COUNTIF(Replication!$B$2:$ML$100,C203)</f>
        <v>0</v>
      </c>
      <c r="E203" s="26">
        <f t="shared" si="12"/>
        <v>0</v>
      </c>
      <c r="F203" s="1">
        <f>VLOOKUP(C203,'Raw Data'!$A$1:$L$417,2,FALSE)</f>
        <v>7.4880841886086351</v>
      </c>
      <c r="G203" s="84">
        <f t="shared" si="15"/>
        <v>192.60547575600512</v>
      </c>
      <c r="H203" s="12">
        <f t="shared" si="14"/>
        <v>0</v>
      </c>
      <c r="I203">
        <f t="shared" si="13"/>
        <v>1</v>
      </c>
    </row>
    <row r="204" spans="2:9" x14ac:dyDescent="0.3">
      <c r="B204" s="12">
        <f>VLOOKUP(C204,'Raw Data'!$A$1:$I$417,9,FALSE)</f>
        <v>1</v>
      </c>
      <c r="C204">
        <v>187</v>
      </c>
      <c r="D204">
        <f>COUNTIF(Replication!$B$2:$ML$100,C204)</f>
        <v>0</v>
      </c>
      <c r="E204" s="26">
        <f t="shared" si="12"/>
        <v>0</v>
      </c>
      <c r="F204" s="1">
        <f>VLOOKUP(C204,'Raw Data'!$A$1:$L$417,2,FALSE)</f>
        <v>8.1962620505895138</v>
      </c>
      <c r="G204" s="84">
        <f t="shared" si="15"/>
        <v>184.4092137054156</v>
      </c>
      <c r="H204" s="12">
        <f t="shared" si="14"/>
        <v>1</v>
      </c>
      <c r="I204">
        <f t="shared" si="13"/>
        <v>1</v>
      </c>
    </row>
    <row r="205" spans="2:9" x14ac:dyDescent="0.3">
      <c r="B205" s="12">
        <f>VLOOKUP(C205,'Raw Data'!$A$1:$I$417,9,FALSE)</f>
        <v>1</v>
      </c>
      <c r="C205">
        <v>464</v>
      </c>
      <c r="D205">
        <f>COUNTIF(Replication!$B$2:$ML$100,C205)</f>
        <v>0</v>
      </c>
      <c r="E205" s="26">
        <f t="shared" si="12"/>
        <v>0</v>
      </c>
      <c r="F205" s="1">
        <f>VLOOKUP(C205,'Raw Data'!$A$1:$L$417,2,FALSE)</f>
        <v>6.7669690467274481</v>
      </c>
      <c r="G205" s="84">
        <f t="shared" si="15"/>
        <v>177.64224465868816</v>
      </c>
      <c r="H205" s="12">
        <f t="shared" si="14"/>
        <v>1</v>
      </c>
      <c r="I205">
        <f t="shared" si="13"/>
        <v>1</v>
      </c>
    </row>
    <row r="206" spans="2:9" x14ac:dyDescent="0.3">
      <c r="B206" s="12">
        <f>VLOOKUP(C206,'Raw Data'!$A$1:$I$417,9,FALSE)</f>
        <v>0</v>
      </c>
      <c r="C206">
        <v>89</v>
      </c>
      <c r="D206">
        <f>COUNTIF(Replication!$B$2:$ML$100,C206)</f>
        <v>0</v>
      </c>
      <c r="E206" s="26">
        <f t="shared" si="12"/>
        <v>0</v>
      </c>
      <c r="F206" s="1">
        <f>VLOOKUP(C206,'Raw Data'!$A$1:$L$417,2,FALSE)</f>
        <v>6.561145918502306</v>
      </c>
      <c r="G206" s="84">
        <f t="shared" si="15"/>
        <v>177.64224465868816</v>
      </c>
      <c r="H206" s="12">
        <f t="shared" si="14"/>
        <v>0</v>
      </c>
      <c r="I206">
        <f t="shared" si="13"/>
        <v>1</v>
      </c>
    </row>
    <row r="207" spans="2:9" x14ac:dyDescent="0.3">
      <c r="B207" s="12">
        <f>VLOOKUP(C207,'Raw Data'!$A$1:$I$417,9,FALSE)</f>
        <v>1</v>
      </c>
      <c r="C207">
        <v>582</v>
      </c>
      <c r="D207">
        <f>COUNTIF(Replication!$B$2:$ML$100,C207)</f>
        <v>0</v>
      </c>
      <c r="E207" s="26">
        <f t="shared" si="12"/>
        <v>0</v>
      </c>
      <c r="F207" s="1">
        <f>VLOOKUP(C207,'Raw Data'!$A$1:$L$417,2,FALSE)</f>
        <v>5.6107386917113438</v>
      </c>
      <c r="G207" s="84">
        <f t="shared" si="15"/>
        <v>172.03150596697682</v>
      </c>
      <c r="H207" s="12">
        <f t="shared" si="14"/>
        <v>1</v>
      </c>
      <c r="I207">
        <f t="shared" si="13"/>
        <v>1</v>
      </c>
    </row>
    <row r="208" spans="2:9" x14ac:dyDescent="0.3">
      <c r="B208" s="12">
        <f>VLOOKUP(C208,'Raw Data'!$A$1:$I$417,9,FALSE)</f>
        <v>0</v>
      </c>
      <c r="C208">
        <v>813</v>
      </c>
      <c r="D208">
        <f>COUNTIF(Replication!$B$2:$ML$100,C208)</f>
        <v>0</v>
      </c>
      <c r="E208" s="26">
        <f t="shared" si="12"/>
        <v>0</v>
      </c>
      <c r="F208" s="1">
        <f>VLOOKUP(C208,'Raw Data'!$A$1:$L$417,2,FALSE)</f>
        <v>8.4164408858275017</v>
      </c>
      <c r="G208" s="84">
        <f t="shared" si="15"/>
        <v>172.03150596697682</v>
      </c>
      <c r="H208" s="12">
        <f t="shared" si="14"/>
        <v>0</v>
      </c>
      <c r="I208">
        <f t="shared" si="13"/>
        <v>1</v>
      </c>
    </row>
    <row r="209" spans="2:9" x14ac:dyDescent="0.3">
      <c r="B209" s="12">
        <f>VLOOKUP(C209,'Raw Data'!$A$1:$I$417,9,FALSE)</f>
        <v>0</v>
      </c>
      <c r="C209">
        <v>847</v>
      </c>
      <c r="D209">
        <f>COUNTIF(Replication!$B$2:$ML$100,C209)</f>
        <v>0</v>
      </c>
      <c r="E209" s="26">
        <f t="shared" si="12"/>
        <v>0</v>
      </c>
      <c r="F209" s="1">
        <f>VLOOKUP(C209,'Raw Data'!$A$1:$L$417,2,FALSE)</f>
        <v>4.3970957259501677</v>
      </c>
      <c r="G209" s="84">
        <f t="shared" si="15"/>
        <v>172.03150596697682</v>
      </c>
      <c r="H209" s="12">
        <f t="shared" si="14"/>
        <v>0</v>
      </c>
      <c r="I209">
        <f t="shared" si="13"/>
        <v>1</v>
      </c>
    </row>
    <row r="210" spans="2:9" x14ac:dyDescent="0.3">
      <c r="B210" s="12">
        <f>VLOOKUP(C210,'Raw Data'!$A$1:$I$417,9,FALSE)</f>
        <v>0</v>
      </c>
      <c r="C210">
        <v>985</v>
      </c>
      <c r="D210">
        <f>COUNTIF(Replication!$B$2:$ML$100,C210)</f>
        <v>0</v>
      </c>
      <c r="E210" s="26">
        <f t="shared" si="12"/>
        <v>0</v>
      </c>
      <c r="F210" s="1">
        <f>VLOOKUP(C210,'Raw Data'!$A$1:$L$417,2,FALSE)</f>
        <v>5.5346435523973438</v>
      </c>
      <c r="G210" s="84">
        <f t="shared" si="15"/>
        <v>172.03150596697682</v>
      </c>
      <c r="H210" s="12">
        <f t="shared" si="14"/>
        <v>0</v>
      </c>
      <c r="I210">
        <f t="shared" si="13"/>
        <v>1</v>
      </c>
    </row>
    <row r="211" spans="2:9" x14ac:dyDescent="0.3">
      <c r="B211" s="12">
        <f>VLOOKUP(C211,'Raw Data'!$A$1:$I$417,9,FALSE)</f>
        <v>0</v>
      </c>
      <c r="C211">
        <v>762</v>
      </c>
      <c r="D211">
        <f>COUNTIF(Replication!$B$2:$ML$100,C211)</f>
        <v>0</v>
      </c>
      <c r="E211" s="26">
        <f t="shared" si="12"/>
        <v>0</v>
      </c>
      <c r="F211" s="1">
        <f>VLOOKUP(C211,'Raw Data'!$A$1:$L$417,2,FALSE)</f>
        <v>0.45024089787638277</v>
      </c>
      <c r="G211" s="84">
        <f t="shared" si="15"/>
        <v>172.03150596697682</v>
      </c>
      <c r="H211" s="12">
        <f t="shared" si="14"/>
        <v>0</v>
      </c>
      <c r="I211">
        <f t="shared" si="13"/>
        <v>1</v>
      </c>
    </row>
    <row r="212" spans="2:9" x14ac:dyDescent="0.3">
      <c r="B212" s="12">
        <f>VLOOKUP(C212,'Raw Data'!$A$1:$I$417,9,FALSE)</f>
        <v>0</v>
      </c>
      <c r="C212">
        <v>87</v>
      </c>
      <c r="D212">
        <f>COUNTIF(Replication!$B$2:$ML$100,C212)</f>
        <v>0</v>
      </c>
      <c r="E212" s="26">
        <f t="shared" si="12"/>
        <v>0</v>
      </c>
      <c r="F212" s="1">
        <f>VLOOKUP(C212,'Raw Data'!$A$1:$L$417,2,FALSE)</f>
        <v>7.578015698568354</v>
      </c>
      <c r="G212" s="84">
        <f t="shared" si="15"/>
        <v>172.03150596697682</v>
      </c>
      <c r="H212" s="12">
        <f t="shared" si="14"/>
        <v>0</v>
      </c>
      <c r="I212">
        <f t="shared" si="13"/>
        <v>1</v>
      </c>
    </row>
    <row r="213" spans="2:9" x14ac:dyDescent="0.3">
      <c r="B213" s="12">
        <f>VLOOKUP(C213,'Raw Data'!$A$1:$I$417,9,FALSE)</f>
        <v>1</v>
      </c>
      <c r="C213">
        <v>946</v>
      </c>
      <c r="D213">
        <f>COUNTIF(Replication!$B$2:$ML$100,C213)</f>
        <v>0</v>
      </c>
      <c r="E213" s="26">
        <f t="shared" si="12"/>
        <v>0</v>
      </c>
      <c r="F213" s="1">
        <f>VLOOKUP(C213,'Raw Data'!$A$1:$L$417,2,FALSE)</f>
        <v>2.2513313292517956</v>
      </c>
      <c r="G213" s="84">
        <f t="shared" si="15"/>
        <v>169.78017463772503</v>
      </c>
      <c r="H213" s="12">
        <f t="shared" si="14"/>
        <v>1</v>
      </c>
      <c r="I213">
        <f t="shared" si="13"/>
        <v>1</v>
      </c>
    </row>
    <row r="214" spans="2:9" x14ac:dyDescent="0.3">
      <c r="B214" s="12">
        <f>VLOOKUP(C214,'Raw Data'!$A$1:$I$417,9,FALSE)</f>
        <v>0</v>
      </c>
      <c r="C214">
        <v>523</v>
      </c>
      <c r="D214">
        <f>COUNTIF(Replication!$B$2:$ML$100,C214)</f>
        <v>0</v>
      </c>
      <c r="E214" s="26">
        <f t="shared" si="12"/>
        <v>0</v>
      </c>
      <c r="F214" s="1">
        <f>VLOOKUP(C214,'Raw Data'!$A$1:$L$417,2,FALSE)</f>
        <v>1.1308325558149801</v>
      </c>
      <c r="G214" s="84">
        <f t="shared" si="15"/>
        <v>169.78017463772503</v>
      </c>
      <c r="H214" s="12">
        <f t="shared" si="14"/>
        <v>0</v>
      </c>
      <c r="I214">
        <f t="shared" si="13"/>
        <v>1</v>
      </c>
    </row>
    <row r="215" spans="2:9" x14ac:dyDescent="0.3">
      <c r="B215" s="12">
        <f>VLOOKUP(C215,'Raw Data'!$A$1:$I$417,9,FALSE)</f>
        <v>1</v>
      </c>
      <c r="C215">
        <v>375</v>
      </c>
      <c r="D215">
        <f>COUNTIF(Replication!$B$2:$ML$100,C215)</f>
        <v>0</v>
      </c>
      <c r="E215" s="26">
        <f t="shared" si="12"/>
        <v>0</v>
      </c>
      <c r="F215" s="1">
        <f>VLOOKUP(C215,'Raw Data'!$A$1:$L$417,2,FALSE)</f>
        <v>0.89918657385703482</v>
      </c>
      <c r="G215" s="84">
        <f t="shared" si="15"/>
        <v>168.88098806386799</v>
      </c>
      <c r="H215" s="12">
        <f t="shared" si="14"/>
        <v>1</v>
      </c>
      <c r="I215">
        <f t="shared" si="13"/>
        <v>1</v>
      </c>
    </row>
    <row r="216" spans="2:9" x14ac:dyDescent="0.3">
      <c r="B216" s="12">
        <f>VLOOKUP(C216,'Raw Data'!$A$1:$I$417,9,FALSE)</f>
        <v>1</v>
      </c>
      <c r="C216">
        <v>532</v>
      </c>
      <c r="D216">
        <f>COUNTIF(Replication!$B$2:$ML$100,C216)</f>
        <v>0</v>
      </c>
      <c r="E216" s="26">
        <f t="shared" si="12"/>
        <v>0</v>
      </c>
      <c r="F216" s="1">
        <f>VLOOKUP(C216,'Raw Data'!$A$1:$L$417,2,FALSE)</f>
        <v>5.7312977182662452</v>
      </c>
      <c r="G216" s="84">
        <f t="shared" si="15"/>
        <v>163.14969034560175</v>
      </c>
      <c r="H216" s="12">
        <f t="shared" si="14"/>
        <v>1</v>
      </c>
      <c r="I216">
        <f t="shared" si="13"/>
        <v>1</v>
      </c>
    </row>
    <row r="217" spans="2:9" x14ac:dyDescent="0.3">
      <c r="B217" s="12">
        <f>VLOOKUP(C217,'Raw Data'!$A$1:$I$417,9,FALSE)</f>
        <v>0</v>
      </c>
      <c r="C217">
        <v>671</v>
      </c>
      <c r="D217">
        <f>COUNTIF(Replication!$B$2:$ML$100,C217)</f>
        <v>0</v>
      </c>
      <c r="E217" s="26">
        <f t="shared" si="12"/>
        <v>0</v>
      </c>
      <c r="F217" s="1">
        <f>VLOOKUP(C217,'Raw Data'!$A$1:$L$417,2,FALSE)</f>
        <v>3.7566641688152158</v>
      </c>
      <c r="G217" s="84">
        <f t="shared" si="15"/>
        <v>163.14969034560175</v>
      </c>
      <c r="H217" s="12">
        <f t="shared" si="14"/>
        <v>0</v>
      </c>
      <c r="I217">
        <f t="shared" si="13"/>
        <v>1</v>
      </c>
    </row>
    <row r="218" spans="2:9" x14ac:dyDescent="0.3">
      <c r="B218" s="12">
        <f>VLOOKUP(C218,'Raw Data'!$A$1:$I$417,9,FALSE)</f>
        <v>0</v>
      </c>
      <c r="C218">
        <v>616</v>
      </c>
      <c r="D218">
        <f>COUNTIF(Replication!$B$2:$ML$100,C218)</f>
        <v>0</v>
      </c>
      <c r="E218" s="26">
        <f t="shared" si="12"/>
        <v>0</v>
      </c>
      <c r="F218" s="1">
        <f>VLOOKUP(C218,'Raw Data'!$A$1:$L$417,2,FALSE)</f>
        <v>3.7358702912983857</v>
      </c>
      <c r="G218" s="84">
        <f t="shared" si="15"/>
        <v>163.14969034560175</v>
      </c>
      <c r="H218" s="12">
        <f t="shared" si="14"/>
        <v>0</v>
      </c>
      <c r="I218">
        <f t="shared" si="13"/>
        <v>1</v>
      </c>
    </row>
    <row r="219" spans="2:9" x14ac:dyDescent="0.3">
      <c r="B219" s="12">
        <f>VLOOKUP(C219,'Raw Data'!$A$1:$I$417,9,FALSE)</f>
        <v>0</v>
      </c>
      <c r="C219">
        <v>1018</v>
      </c>
      <c r="D219">
        <f>COUNTIF(Replication!$B$2:$ML$100,C219)</f>
        <v>0</v>
      </c>
      <c r="E219" s="26">
        <f t="shared" si="12"/>
        <v>0</v>
      </c>
      <c r="F219" s="1">
        <f>VLOOKUP(C219,'Raw Data'!$A$1:$L$417,2,FALSE)</f>
        <v>0.73687519353835773</v>
      </c>
      <c r="G219" s="84">
        <f t="shared" si="15"/>
        <v>163.14969034560175</v>
      </c>
      <c r="H219" s="12">
        <f t="shared" si="14"/>
        <v>0</v>
      </c>
      <c r="I219">
        <f t="shared" si="13"/>
        <v>1</v>
      </c>
    </row>
    <row r="220" spans="2:9" x14ac:dyDescent="0.3">
      <c r="B220" s="12">
        <f>VLOOKUP(C220,'Raw Data'!$A$1:$I$417,9,FALSE)</f>
        <v>0</v>
      </c>
      <c r="C220">
        <v>179</v>
      </c>
      <c r="D220">
        <f>COUNTIF(Replication!$B$2:$ML$100,C220)</f>
        <v>0</v>
      </c>
      <c r="E220" s="26">
        <f t="shared" si="12"/>
        <v>0</v>
      </c>
      <c r="F220" s="1">
        <f>VLOOKUP(C220,'Raw Data'!$A$1:$L$417,2,FALSE)</f>
        <v>2.7593413874763382</v>
      </c>
      <c r="G220" s="84">
        <f t="shared" si="15"/>
        <v>163.14969034560175</v>
      </c>
      <c r="H220" s="12">
        <f t="shared" si="14"/>
        <v>0</v>
      </c>
      <c r="I220">
        <f t="shared" si="13"/>
        <v>1</v>
      </c>
    </row>
    <row r="221" spans="2:9" x14ac:dyDescent="0.3">
      <c r="B221" s="12">
        <f>VLOOKUP(C221,'Raw Data'!$A$1:$I$417,9,FALSE)</f>
        <v>0</v>
      </c>
      <c r="C221">
        <v>1067</v>
      </c>
      <c r="D221">
        <f>COUNTIF(Replication!$B$2:$ML$100,C221)</f>
        <v>0</v>
      </c>
      <c r="E221" s="26">
        <f t="shared" si="12"/>
        <v>0</v>
      </c>
      <c r="F221" s="1">
        <f>VLOOKUP(C221,'Raw Data'!$A$1:$L$417,2,FALSE)</f>
        <v>1.4691299285864245</v>
      </c>
      <c r="G221" s="84">
        <f t="shared" si="15"/>
        <v>163.14969034560175</v>
      </c>
      <c r="H221" s="12">
        <f t="shared" si="14"/>
        <v>0</v>
      </c>
      <c r="I221">
        <f t="shared" si="13"/>
        <v>1</v>
      </c>
    </row>
    <row r="222" spans="2:9" x14ac:dyDescent="0.3">
      <c r="B222" s="12">
        <f>VLOOKUP(C222,'Raw Data'!$A$1:$I$417,9,FALSE)</f>
        <v>0</v>
      </c>
      <c r="C222">
        <v>263</v>
      </c>
      <c r="D222">
        <f>COUNTIF(Replication!$B$2:$ML$100,C222)</f>
        <v>0</v>
      </c>
      <c r="E222" s="26">
        <f t="shared" si="12"/>
        <v>0</v>
      </c>
      <c r="F222" s="1">
        <f>VLOOKUP(C222,'Raw Data'!$A$1:$L$417,2,FALSE)</f>
        <v>2.752843212110303</v>
      </c>
      <c r="G222" s="84">
        <f t="shared" si="15"/>
        <v>163.14969034560175</v>
      </c>
      <c r="H222" s="12">
        <f t="shared" si="14"/>
        <v>0</v>
      </c>
      <c r="I222">
        <f t="shared" si="13"/>
        <v>1</v>
      </c>
    </row>
    <row r="223" spans="2:9" x14ac:dyDescent="0.3">
      <c r="B223" s="12">
        <f>VLOOKUP(C223,'Raw Data'!$A$1:$I$417,9,FALSE)</f>
        <v>0</v>
      </c>
      <c r="C223">
        <v>925</v>
      </c>
      <c r="D223">
        <f>COUNTIF(Replication!$B$2:$ML$100,C223)</f>
        <v>0</v>
      </c>
      <c r="E223" s="26">
        <f t="shared" si="12"/>
        <v>0</v>
      </c>
      <c r="F223" s="1">
        <f>VLOOKUP(C223,'Raw Data'!$A$1:$L$417,2,FALSE)</f>
        <v>1.9951619736682802</v>
      </c>
      <c r="G223" s="84">
        <f t="shared" si="15"/>
        <v>163.14969034560175</v>
      </c>
      <c r="H223" s="12">
        <f t="shared" si="14"/>
        <v>0</v>
      </c>
      <c r="I223">
        <f t="shared" si="13"/>
        <v>1</v>
      </c>
    </row>
    <row r="224" spans="2:9" x14ac:dyDescent="0.3">
      <c r="B224" s="12">
        <f>VLOOKUP(C224,'Raw Data'!$A$1:$I$417,9,FALSE)</f>
        <v>0</v>
      </c>
      <c r="C224">
        <v>750</v>
      </c>
      <c r="D224">
        <f>COUNTIF(Replication!$B$2:$ML$100,C224)</f>
        <v>0</v>
      </c>
      <c r="E224" s="26">
        <f t="shared" si="12"/>
        <v>0</v>
      </c>
      <c r="F224" s="1">
        <f>VLOOKUP(C224,'Raw Data'!$A$1:$L$417,2,FALSE)</f>
        <v>1.7476280176606451</v>
      </c>
      <c r="G224" s="84">
        <f t="shared" si="15"/>
        <v>163.14969034560175</v>
      </c>
      <c r="H224" s="12">
        <f t="shared" si="14"/>
        <v>0</v>
      </c>
      <c r="I224">
        <f t="shared" si="13"/>
        <v>1</v>
      </c>
    </row>
    <row r="225" spans="2:9" x14ac:dyDescent="0.3">
      <c r="B225" s="12">
        <f>VLOOKUP(C225,'Raw Data'!$A$1:$I$417,9,FALSE)</f>
        <v>1</v>
      </c>
      <c r="C225">
        <v>221</v>
      </c>
      <c r="D225">
        <f>COUNTIF(Replication!$B$2:$ML$100,C225)</f>
        <v>0</v>
      </c>
      <c r="E225" s="26">
        <f t="shared" si="12"/>
        <v>0</v>
      </c>
      <c r="F225" s="1">
        <f>VLOOKUP(C225,'Raw Data'!$A$1:$L$417,2,FALSE)</f>
        <v>2.491868862856804</v>
      </c>
      <c r="G225" s="84">
        <f t="shared" si="15"/>
        <v>160.65782148274496</v>
      </c>
      <c r="H225" s="12">
        <f t="shared" si="14"/>
        <v>1</v>
      </c>
      <c r="I225">
        <f t="shared" si="13"/>
        <v>1</v>
      </c>
    </row>
    <row r="226" spans="2:9" x14ac:dyDescent="0.3">
      <c r="B226" s="12">
        <f>VLOOKUP(C226,'Raw Data'!$A$1:$I$417,9,FALSE)</f>
        <v>0</v>
      </c>
      <c r="C226">
        <v>125</v>
      </c>
      <c r="D226">
        <f>COUNTIF(Replication!$B$2:$ML$100,C226)</f>
        <v>0</v>
      </c>
      <c r="E226" s="26">
        <f t="shared" si="12"/>
        <v>0</v>
      </c>
      <c r="F226" s="1">
        <f>VLOOKUP(C226,'Raw Data'!$A$1:$L$417,2,FALSE)</f>
        <v>2.0777241984874695</v>
      </c>
      <c r="G226" s="84">
        <f t="shared" si="15"/>
        <v>160.65782148274496</v>
      </c>
      <c r="H226" s="12">
        <f t="shared" si="14"/>
        <v>0</v>
      </c>
      <c r="I226">
        <f t="shared" si="13"/>
        <v>1</v>
      </c>
    </row>
    <row r="227" spans="2:9" x14ac:dyDescent="0.3">
      <c r="B227" s="12">
        <f>VLOOKUP(C227,'Raw Data'!$A$1:$I$417,9,FALSE)</f>
        <v>0</v>
      </c>
      <c r="C227">
        <v>453</v>
      </c>
      <c r="D227">
        <f>COUNTIF(Replication!$B$2:$ML$100,C227)</f>
        <v>0</v>
      </c>
      <c r="E227" s="26">
        <f t="shared" si="12"/>
        <v>0</v>
      </c>
      <c r="F227" s="1">
        <f>VLOOKUP(C227,'Raw Data'!$A$1:$L$417,2,FALSE)</f>
        <v>0.66901126411196388</v>
      </c>
      <c r="G227" s="84">
        <f t="shared" si="15"/>
        <v>160.65782148274496</v>
      </c>
      <c r="H227" s="12">
        <f t="shared" si="14"/>
        <v>0</v>
      </c>
      <c r="I227">
        <f t="shared" si="13"/>
        <v>1</v>
      </c>
    </row>
    <row r="228" spans="2:9" x14ac:dyDescent="0.3">
      <c r="B228" s="12">
        <f>VLOOKUP(C228,'Raw Data'!$A$1:$I$417,9,FALSE)</f>
        <v>0</v>
      </c>
      <c r="C228">
        <v>479</v>
      </c>
      <c r="D228">
        <f>COUNTIF(Replication!$B$2:$ML$100,C228)</f>
        <v>0</v>
      </c>
      <c r="E228" s="26">
        <f t="shared" si="12"/>
        <v>0</v>
      </c>
      <c r="F228" s="1">
        <f>VLOOKUP(C228,'Raw Data'!$A$1:$L$417,2,FALSE)</f>
        <v>2.3623766896901865</v>
      </c>
      <c r="G228" s="84">
        <f t="shared" si="15"/>
        <v>160.65782148274496</v>
      </c>
      <c r="H228" s="12">
        <f t="shared" si="14"/>
        <v>0</v>
      </c>
      <c r="I228">
        <f t="shared" si="13"/>
        <v>1</v>
      </c>
    </row>
    <row r="229" spans="2:9" x14ac:dyDescent="0.3">
      <c r="B229" s="12">
        <f>VLOOKUP(C229,'Raw Data'!$A$1:$I$417,9,FALSE)</f>
        <v>0</v>
      </c>
      <c r="C229">
        <v>211</v>
      </c>
      <c r="D229">
        <f>COUNTIF(Replication!$B$2:$ML$100,C229)</f>
        <v>0</v>
      </c>
      <c r="E229" s="26">
        <f t="shared" si="12"/>
        <v>0</v>
      </c>
      <c r="F229" s="1">
        <f>VLOOKUP(C229,'Raw Data'!$A$1:$L$417,2,FALSE)</f>
        <v>0.81867101102743978</v>
      </c>
      <c r="G229" s="84">
        <f t="shared" si="15"/>
        <v>160.65782148274496</v>
      </c>
      <c r="H229" s="12">
        <f t="shared" si="14"/>
        <v>0</v>
      </c>
      <c r="I229">
        <f t="shared" si="13"/>
        <v>1</v>
      </c>
    </row>
    <row r="230" spans="2:9" x14ac:dyDescent="0.3">
      <c r="B230" s="12">
        <f>VLOOKUP(C230,'Raw Data'!$A$1:$I$417,9,FALSE)</f>
        <v>0</v>
      </c>
      <c r="C230">
        <v>789</v>
      </c>
      <c r="D230">
        <f>COUNTIF(Replication!$B$2:$ML$100,C230)</f>
        <v>0</v>
      </c>
      <c r="E230" s="26">
        <f t="shared" si="12"/>
        <v>0</v>
      </c>
      <c r="F230" s="1">
        <f>VLOOKUP(C230,'Raw Data'!$A$1:$L$417,2,FALSE)</f>
        <v>6.8997489776993319</v>
      </c>
      <c r="G230" s="84">
        <f t="shared" si="15"/>
        <v>160.65782148274496</v>
      </c>
      <c r="H230" s="12">
        <f t="shared" si="14"/>
        <v>0</v>
      </c>
      <c r="I230">
        <f t="shared" si="13"/>
        <v>1</v>
      </c>
    </row>
    <row r="231" spans="2:9" x14ac:dyDescent="0.3">
      <c r="B231" s="12">
        <f>VLOOKUP(C231,'Raw Data'!$A$1:$I$417,9,FALSE)</f>
        <v>1</v>
      </c>
      <c r="C231">
        <v>555</v>
      </c>
      <c r="D231">
        <f>COUNTIF(Replication!$B$2:$ML$100,C231)</f>
        <v>0</v>
      </c>
      <c r="E231" s="26">
        <f t="shared" si="12"/>
        <v>0</v>
      </c>
      <c r="F231" s="1">
        <f>VLOOKUP(C231,'Raw Data'!$A$1:$L$417,2,FALSE)</f>
        <v>6.4576425653480527</v>
      </c>
      <c r="G231" s="84">
        <f t="shared" si="15"/>
        <v>154.2001789173969</v>
      </c>
      <c r="H231" s="12">
        <f t="shared" si="14"/>
        <v>1</v>
      </c>
      <c r="I231">
        <f t="shared" si="13"/>
        <v>1</v>
      </c>
    </row>
    <row r="232" spans="2:9" x14ac:dyDescent="0.3">
      <c r="B232" s="12">
        <f>VLOOKUP(C232,'Raw Data'!$A$1:$I$417,9,FALSE)</f>
        <v>0</v>
      </c>
      <c r="C232">
        <v>249</v>
      </c>
      <c r="D232">
        <f>COUNTIF(Replication!$B$2:$ML$100,C232)</f>
        <v>0</v>
      </c>
      <c r="E232" s="26">
        <f t="shared" si="12"/>
        <v>0</v>
      </c>
      <c r="F232" s="1">
        <f>VLOOKUP(C232,'Raw Data'!$A$1:$L$417,2,FALSE)</f>
        <v>4.4567244466016103</v>
      </c>
      <c r="G232" s="84">
        <f t="shared" si="15"/>
        <v>154.2001789173969</v>
      </c>
      <c r="H232" s="12">
        <f t="shared" si="14"/>
        <v>0</v>
      </c>
      <c r="I232">
        <f t="shared" si="13"/>
        <v>1</v>
      </c>
    </row>
    <row r="233" spans="2:9" x14ac:dyDescent="0.3">
      <c r="B233" s="12">
        <f>VLOOKUP(C233,'Raw Data'!$A$1:$I$417,9,FALSE)</f>
        <v>0</v>
      </c>
      <c r="C233">
        <v>354</v>
      </c>
      <c r="D233">
        <f>COUNTIF(Replication!$B$2:$ML$100,C233)</f>
        <v>0</v>
      </c>
      <c r="E233" s="26">
        <f t="shared" si="12"/>
        <v>0</v>
      </c>
      <c r="F233" s="1">
        <f>VLOOKUP(C233,'Raw Data'!$A$1:$L$417,2,FALSE)</f>
        <v>3.7350968175536381</v>
      </c>
      <c r="G233" s="84">
        <f t="shared" si="15"/>
        <v>154.2001789173969</v>
      </c>
      <c r="H233" s="12">
        <f t="shared" si="14"/>
        <v>0</v>
      </c>
      <c r="I233">
        <f t="shared" si="13"/>
        <v>1</v>
      </c>
    </row>
    <row r="234" spans="2:9" x14ac:dyDescent="0.3">
      <c r="B234" s="12">
        <f>VLOOKUP(C234,'Raw Data'!$A$1:$I$417,9,FALSE)</f>
        <v>0</v>
      </c>
      <c r="C234">
        <v>991</v>
      </c>
      <c r="D234">
        <f>COUNTIF(Replication!$B$2:$ML$100,C234)</f>
        <v>0</v>
      </c>
      <c r="E234" s="26">
        <f t="shared" si="12"/>
        <v>0</v>
      </c>
      <c r="F234" s="1">
        <f>VLOOKUP(C234,'Raw Data'!$A$1:$L$417,2,FALSE)</f>
        <v>2.5363075701339888</v>
      </c>
      <c r="G234" s="84">
        <f t="shared" si="15"/>
        <v>154.2001789173969</v>
      </c>
      <c r="H234" s="12">
        <f t="shared" si="14"/>
        <v>0</v>
      </c>
      <c r="I234">
        <f t="shared" si="13"/>
        <v>1</v>
      </c>
    </row>
    <row r="235" spans="2:9" x14ac:dyDescent="0.3">
      <c r="B235" s="12">
        <f>VLOOKUP(C235,'Raw Data'!$A$1:$I$417,9,FALSE)</f>
        <v>1</v>
      </c>
      <c r="C235">
        <v>757</v>
      </c>
      <c r="D235">
        <f>COUNTIF(Replication!$B$2:$ML$100,C235)</f>
        <v>0</v>
      </c>
      <c r="E235" s="26">
        <f t="shared" si="12"/>
        <v>0</v>
      </c>
      <c r="F235" s="1">
        <f>VLOOKUP(C235,'Raw Data'!$A$1:$L$417,2,FALSE)</f>
        <v>2.5456532643571594</v>
      </c>
      <c r="G235" s="84">
        <f t="shared" si="15"/>
        <v>151.65452565303974</v>
      </c>
      <c r="H235" s="12">
        <f t="shared" si="14"/>
        <v>1</v>
      </c>
      <c r="I235">
        <f t="shared" si="13"/>
        <v>1</v>
      </c>
    </row>
    <row r="236" spans="2:9" x14ac:dyDescent="0.3">
      <c r="B236" s="12">
        <f>VLOOKUP(C236,'Raw Data'!$A$1:$I$417,9,FALSE)</f>
        <v>0</v>
      </c>
      <c r="C236">
        <v>549</v>
      </c>
      <c r="D236">
        <f>COUNTIF(Replication!$B$2:$ML$100,C236)</f>
        <v>0</v>
      </c>
      <c r="E236" s="26">
        <f t="shared" si="12"/>
        <v>0</v>
      </c>
      <c r="F236" s="1">
        <f>VLOOKUP(C236,'Raw Data'!$A$1:$L$417,2,FALSE)</f>
        <v>1.3572258448421848</v>
      </c>
      <c r="G236" s="84">
        <f t="shared" si="15"/>
        <v>151.65452565303974</v>
      </c>
      <c r="H236" s="12">
        <f t="shared" si="14"/>
        <v>0</v>
      </c>
      <c r="I236">
        <f t="shared" si="13"/>
        <v>1</v>
      </c>
    </row>
    <row r="237" spans="2:9" x14ac:dyDescent="0.3">
      <c r="B237" s="12">
        <f>VLOOKUP(C237,'Raw Data'!$A$1:$I$417,9,FALSE)</f>
        <v>1</v>
      </c>
      <c r="C237">
        <v>712</v>
      </c>
      <c r="D237">
        <f>COUNTIF(Replication!$B$2:$ML$100,C237)</f>
        <v>0</v>
      </c>
      <c r="E237" s="26">
        <f t="shared" si="12"/>
        <v>0</v>
      </c>
      <c r="F237" s="1">
        <f>VLOOKUP(C237,'Raw Data'!$A$1:$L$417,2,FALSE)</f>
        <v>2.8413064697717907</v>
      </c>
      <c r="G237" s="84">
        <f t="shared" si="15"/>
        <v>148.81321918326796</v>
      </c>
      <c r="H237" s="12">
        <f t="shared" si="14"/>
        <v>1</v>
      </c>
      <c r="I237">
        <f t="shared" si="13"/>
        <v>1</v>
      </c>
    </row>
    <row r="238" spans="2:9" x14ac:dyDescent="0.3">
      <c r="B238" s="12">
        <f>VLOOKUP(C238,'Raw Data'!$A$1:$I$417,9,FALSE)</f>
        <v>0</v>
      </c>
      <c r="C238">
        <v>1074</v>
      </c>
      <c r="D238">
        <f>COUNTIF(Replication!$B$2:$ML$100,C238)</f>
        <v>0</v>
      </c>
      <c r="E238" s="26">
        <f t="shared" si="12"/>
        <v>0</v>
      </c>
      <c r="F238" s="1">
        <f>VLOOKUP(C238,'Raw Data'!$A$1:$L$417,2,FALSE)</f>
        <v>1.9862065651892213</v>
      </c>
      <c r="G238" s="84">
        <f t="shared" si="15"/>
        <v>148.81321918326796</v>
      </c>
      <c r="H238" s="12">
        <f t="shared" si="14"/>
        <v>0</v>
      </c>
      <c r="I238">
        <f t="shared" si="13"/>
        <v>1</v>
      </c>
    </row>
    <row r="239" spans="2:9" x14ac:dyDescent="0.3">
      <c r="B239" s="12">
        <f>VLOOKUP(C239,'Raw Data'!$A$1:$I$417,9,FALSE)</f>
        <v>0</v>
      </c>
      <c r="C239">
        <v>415</v>
      </c>
      <c r="D239">
        <f>COUNTIF(Replication!$B$2:$ML$100,C239)</f>
        <v>0</v>
      </c>
      <c r="E239" s="26">
        <f t="shared" si="12"/>
        <v>0</v>
      </c>
      <c r="F239" s="1">
        <f>VLOOKUP(C239,'Raw Data'!$A$1:$L$417,2,FALSE)</f>
        <v>0.70067273284080134</v>
      </c>
      <c r="G239" s="84">
        <f t="shared" si="15"/>
        <v>148.81321918326796</v>
      </c>
      <c r="H239" s="12">
        <f t="shared" si="14"/>
        <v>0</v>
      </c>
      <c r="I239">
        <f t="shared" si="13"/>
        <v>1</v>
      </c>
    </row>
    <row r="240" spans="2:9" x14ac:dyDescent="0.3">
      <c r="B240" s="12">
        <f>VLOOKUP(C240,'Raw Data'!$A$1:$I$417,9,FALSE)</f>
        <v>0</v>
      </c>
      <c r="C240">
        <v>596</v>
      </c>
      <c r="D240">
        <f>COUNTIF(Replication!$B$2:$ML$100,C240)</f>
        <v>0</v>
      </c>
      <c r="E240" s="26">
        <f t="shared" si="12"/>
        <v>0</v>
      </c>
      <c r="F240" s="1">
        <f>VLOOKUP(C240,'Raw Data'!$A$1:$L$417,2,FALSE)</f>
        <v>5.4851922697947408</v>
      </c>
      <c r="G240" s="84">
        <f t="shared" si="15"/>
        <v>148.81321918326796</v>
      </c>
      <c r="H240" s="12">
        <f t="shared" si="14"/>
        <v>0</v>
      </c>
      <c r="I240">
        <f t="shared" si="13"/>
        <v>1</v>
      </c>
    </row>
    <row r="241" spans="2:9" x14ac:dyDescent="0.3">
      <c r="B241" s="12">
        <f>VLOOKUP(C241,'Raw Data'!$A$1:$I$417,9,FALSE)</f>
        <v>1</v>
      </c>
      <c r="C241">
        <v>356</v>
      </c>
      <c r="D241">
        <f>COUNTIF(Replication!$B$2:$ML$100,C241)</f>
        <v>0</v>
      </c>
      <c r="E241" s="26">
        <f t="shared" si="12"/>
        <v>0</v>
      </c>
      <c r="F241" s="1">
        <f>VLOOKUP(C241,'Raw Data'!$A$1:$L$417,2,FALSE)</f>
        <v>8.5187015079434971</v>
      </c>
      <c r="G241" s="84">
        <f t="shared" si="15"/>
        <v>140.29451767532447</v>
      </c>
      <c r="H241" s="12">
        <f t="shared" si="14"/>
        <v>1</v>
      </c>
      <c r="I241">
        <f t="shared" si="13"/>
        <v>1</v>
      </c>
    </row>
    <row r="242" spans="2:9" x14ac:dyDescent="0.3">
      <c r="B242" s="12">
        <f>VLOOKUP(C242,'Raw Data'!$A$1:$I$417,9,FALSE)</f>
        <v>1</v>
      </c>
      <c r="C242">
        <v>959</v>
      </c>
      <c r="D242">
        <f>COUNTIF(Replication!$B$2:$ML$100,C242)</f>
        <v>0</v>
      </c>
      <c r="E242" s="26">
        <f t="shared" si="12"/>
        <v>0</v>
      </c>
      <c r="F242" s="1">
        <f>VLOOKUP(C242,'Raw Data'!$A$1:$L$417,2,FALSE)</f>
        <v>7.985880696492023</v>
      </c>
      <c r="G242" s="84">
        <f t="shared" si="15"/>
        <v>132.30863697883245</v>
      </c>
      <c r="H242" s="12">
        <f t="shared" si="14"/>
        <v>1</v>
      </c>
      <c r="I242">
        <f t="shared" si="13"/>
        <v>1</v>
      </c>
    </row>
    <row r="243" spans="2:9" x14ac:dyDescent="0.3">
      <c r="B243" s="12">
        <f>VLOOKUP(C243,'Raw Data'!$A$1:$I$417,9,FALSE)</f>
        <v>0</v>
      </c>
      <c r="C243">
        <v>130</v>
      </c>
      <c r="D243">
        <f>COUNTIF(Replication!$B$2:$ML$100,C243)</f>
        <v>0</v>
      </c>
      <c r="E243" s="26">
        <f t="shared" si="12"/>
        <v>0</v>
      </c>
      <c r="F243" s="1">
        <f>VLOOKUP(C243,'Raw Data'!$A$1:$L$417,2,FALSE)</f>
        <v>2.9822966222881653</v>
      </c>
      <c r="G243" s="84">
        <f t="shared" si="15"/>
        <v>132.30863697883245</v>
      </c>
      <c r="H243" s="12">
        <f t="shared" si="14"/>
        <v>0</v>
      </c>
      <c r="I243">
        <f t="shared" si="13"/>
        <v>1</v>
      </c>
    </row>
    <row r="244" spans="2:9" x14ac:dyDescent="0.3">
      <c r="B244" s="12">
        <f>VLOOKUP(C244,'Raw Data'!$A$1:$I$417,9,FALSE)</f>
        <v>1</v>
      </c>
      <c r="C244">
        <v>882</v>
      </c>
      <c r="D244">
        <f>COUNTIF(Replication!$B$2:$ML$100,C244)</f>
        <v>0</v>
      </c>
      <c r="E244" s="26">
        <f t="shared" si="12"/>
        <v>0</v>
      </c>
      <c r="F244" s="1">
        <f>VLOOKUP(C244,'Raw Data'!$A$1:$L$417,2,FALSE)</f>
        <v>6.0707386033012263</v>
      </c>
      <c r="G244" s="84">
        <f t="shared" si="15"/>
        <v>126.23789837553123</v>
      </c>
      <c r="H244" s="12">
        <f t="shared" si="14"/>
        <v>1</v>
      </c>
      <c r="I244">
        <f t="shared" si="13"/>
        <v>1</v>
      </c>
    </row>
    <row r="245" spans="2:9" x14ac:dyDescent="0.3">
      <c r="B245" s="12">
        <f>VLOOKUP(C245,'Raw Data'!$A$1:$I$417,9,FALSE)</f>
        <v>1</v>
      </c>
      <c r="C245">
        <v>961</v>
      </c>
      <c r="D245">
        <f>COUNTIF(Replication!$B$2:$ML$100,C245)</f>
        <v>0</v>
      </c>
      <c r="E245" s="26">
        <f t="shared" si="12"/>
        <v>0</v>
      </c>
      <c r="F245" s="1">
        <f>VLOOKUP(C245,'Raw Data'!$A$1:$L$417,2,FALSE)</f>
        <v>5.2424359195975869</v>
      </c>
      <c r="G245" s="84">
        <f t="shared" si="15"/>
        <v>120.99546245593365</v>
      </c>
      <c r="H245" s="12">
        <f t="shared" si="14"/>
        <v>1</v>
      </c>
      <c r="I245">
        <f t="shared" si="13"/>
        <v>1</v>
      </c>
    </row>
    <row r="246" spans="2:9" x14ac:dyDescent="0.3">
      <c r="B246" s="12">
        <f>VLOOKUP(C246,'Raw Data'!$A$1:$I$417,9,FALSE)</f>
        <v>1</v>
      </c>
      <c r="C246">
        <v>413</v>
      </c>
      <c r="D246">
        <f>COUNTIF(Replication!$B$2:$ML$100,C246)</f>
        <v>0</v>
      </c>
      <c r="E246" s="26">
        <f t="shared" si="12"/>
        <v>0</v>
      </c>
      <c r="F246" s="1">
        <f>VLOOKUP(C246,'Raw Data'!$A$1:$L$417,2,FALSE)</f>
        <v>2.0456453937408234</v>
      </c>
      <c r="G246" s="84">
        <f t="shared" si="15"/>
        <v>118.94981706219282</v>
      </c>
      <c r="H246" s="12">
        <f t="shared" si="14"/>
        <v>1</v>
      </c>
      <c r="I246">
        <f t="shared" si="13"/>
        <v>1</v>
      </c>
    </row>
    <row r="247" spans="2:9" x14ac:dyDescent="0.3">
      <c r="B247" s="12">
        <f>VLOOKUP(C247,'Raw Data'!$A$1:$I$417,9,FALSE)</f>
        <v>0</v>
      </c>
      <c r="C247">
        <v>17</v>
      </c>
      <c r="D247">
        <f>COUNTIF(Replication!$B$2:$ML$100,C247)</f>
        <v>0</v>
      </c>
      <c r="E247" s="26">
        <f t="shared" si="12"/>
        <v>0</v>
      </c>
      <c r="F247" s="1">
        <f>VLOOKUP(C247,'Raw Data'!$A$1:$L$417,2,FALSE)</f>
        <v>5.4591373452836178</v>
      </c>
      <c r="G247" s="84">
        <f t="shared" si="15"/>
        <v>118.94981706219282</v>
      </c>
      <c r="H247" s="12">
        <f t="shared" si="14"/>
        <v>0</v>
      </c>
      <c r="I247">
        <f t="shared" si="13"/>
        <v>1</v>
      </c>
    </row>
    <row r="248" spans="2:9" x14ac:dyDescent="0.3">
      <c r="B248" s="12">
        <f>VLOOKUP(C248,'Raw Data'!$A$1:$I$417,9,FALSE)</f>
        <v>0</v>
      </c>
      <c r="C248">
        <v>570</v>
      </c>
      <c r="D248">
        <f>COUNTIF(Replication!$B$2:$ML$100,C248)</f>
        <v>0</v>
      </c>
      <c r="E248" s="26">
        <f t="shared" si="12"/>
        <v>0</v>
      </c>
      <c r="F248" s="1">
        <f>VLOOKUP(C248,'Raw Data'!$A$1:$L$417,2,FALSE)</f>
        <v>4.641911641886189</v>
      </c>
      <c r="G248" s="84">
        <f t="shared" si="15"/>
        <v>118.94981706219282</v>
      </c>
      <c r="H248" s="12">
        <f t="shared" si="14"/>
        <v>0</v>
      </c>
      <c r="I248">
        <f t="shared" si="13"/>
        <v>1</v>
      </c>
    </row>
    <row r="249" spans="2:9" x14ac:dyDescent="0.3">
      <c r="B249" s="12">
        <f>VLOOKUP(C249,'Raw Data'!$A$1:$I$417,9,FALSE)</f>
        <v>1</v>
      </c>
      <c r="C249">
        <v>369</v>
      </c>
      <c r="D249">
        <f>COUNTIF(Replication!$B$2:$ML$100,C249)</f>
        <v>0</v>
      </c>
      <c r="E249" s="26">
        <f t="shared" si="12"/>
        <v>0</v>
      </c>
      <c r="F249" s="1">
        <f>VLOOKUP(C249,'Raw Data'!$A$1:$L$417,2,FALSE)</f>
        <v>0.77954630192057506</v>
      </c>
      <c r="G249" s="84">
        <f t="shared" si="15"/>
        <v>118.17027076027225</v>
      </c>
      <c r="H249" s="12">
        <f t="shared" si="14"/>
        <v>1</v>
      </c>
      <c r="I249">
        <f t="shared" si="13"/>
        <v>1</v>
      </c>
    </row>
    <row r="250" spans="2:9" x14ac:dyDescent="0.3">
      <c r="B250" s="12">
        <f>VLOOKUP(C250,'Raw Data'!$A$1:$I$417,9,FALSE)</f>
        <v>1</v>
      </c>
      <c r="C250">
        <v>31</v>
      </c>
      <c r="D250">
        <f>COUNTIF(Replication!$B$2:$ML$100,C250)</f>
        <v>0</v>
      </c>
      <c r="E250" s="26">
        <f t="shared" si="12"/>
        <v>0</v>
      </c>
      <c r="F250" s="1">
        <f>VLOOKUP(C250,'Raw Data'!$A$1:$L$417,2,FALSE)</f>
        <v>0.92553085588797601</v>
      </c>
      <c r="G250" s="84">
        <f t="shared" si="15"/>
        <v>117.24473990438428</v>
      </c>
      <c r="H250" s="12">
        <f t="shared" si="14"/>
        <v>1</v>
      </c>
      <c r="I250">
        <f t="shared" si="13"/>
        <v>1</v>
      </c>
    </row>
    <row r="251" spans="2:9" x14ac:dyDescent="0.3">
      <c r="B251" s="12">
        <f>VLOOKUP(C251,'Raw Data'!$A$1:$I$417,9,FALSE)</f>
        <v>0</v>
      </c>
      <c r="C251">
        <v>805</v>
      </c>
      <c r="D251">
        <f>COUNTIF(Replication!$B$2:$ML$100,C251)</f>
        <v>0</v>
      </c>
      <c r="E251" s="26">
        <f t="shared" si="12"/>
        <v>0</v>
      </c>
      <c r="F251" s="1">
        <f>VLOOKUP(C251,'Raw Data'!$A$1:$L$417,2,FALSE)</f>
        <v>1.7599411510963692</v>
      </c>
      <c r="G251" s="84">
        <f t="shared" si="15"/>
        <v>117.24473990438428</v>
      </c>
      <c r="H251" s="12">
        <f t="shared" si="14"/>
        <v>0</v>
      </c>
      <c r="I251">
        <f t="shared" si="13"/>
        <v>1</v>
      </c>
    </row>
    <row r="252" spans="2:9" x14ac:dyDescent="0.3">
      <c r="B252" s="12">
        <f>VLOOKUP(C252,'Raw Data'!$A$1:$I$417,9,FALSE)</f>
        <v>0</v>
      </c>
      <c r="C252">
        <v>515</v>
      </c>
      <c r="D252">
        <f>COUNTIF(Replication!$B$2:$ML$100,C252)</f>
        <v>0</v>
      </c>
      <c r="E252" s="26">
        <f t="shared" si="12"/>
        <v>0</v>
      </c>
      <c r="F252" s="1">
        <f>VLOOKUP(C252,'Raw Data'!$A$1:$L$417,2,FALSE)</f>
        <v>1.240627503102999</v>
      </c>
      <c r="G252" s="84">
        <f t="shared" si="15"/>
        <v>117.24473990438428</v>
      </c>
      <c r="H252" s="12">
        <f t="shared" si="14"/>
        <v>0</v>
      </c>
      <c r="I252">
        <f t="shared" si="13"/>
        <v>1</v>
      </c>
    </row>
    <row r="253" spans="2:9" x14ac:dyDescent="0.3">
      <c r="B253" s="12">
        <f>VLOOKUP(C253,'Raw Data'!$A$1:$I$417,9,FALSE)</f>
        <v>1</v>
      </c>
      <c r="C253">
        <v>857</v>
      </c>
      <c r="D253">
        <f>COUNTIF(Replication!$B$2:$ML$100,C253)</f>
        <v>0</v>
      </c>
      <c r="E253" s="26">
        <f t="shared" si="12"/>
        <v>0</v>
      </c>
      <c r="F253" s="1">
        <f>VLOOKUP(C253,'Raw Data'!$A$1:$L$417,2,FALSE)</f>
        <v>7.5733691751827648</v>
      </c>
      <c r="G253" s="84">
        <f t="shared" si="15"/>
        <v>109.67137072920151</v>
      </c>
      <c r="H253" s="12">
        <f t="shared" si="14"/>
        <v>1</v>
      </c>
      <c r="I253">
        <f t="shared" si="13"/>
        <v>1</v>
      </c>
    </row>
    <row r="254" spans="2:9" x14ac:dyDescent="0.3">
      <c r="B254" s="12">
        <f>VLOOKUP(C254,'Raw Data'!$A$1:$I$417,9,FALSE)</f>
        <v>0</v>
      </c>
      <c r="C254">
        <v>919</v>
      </c>
      <c r="D254">
        <f>COUNTIF(Replication!$B$2:$ML$100,C254)</f>
        <v>0</v>
      </c>
      <c r="E254" s="26">
        <f t="shared" si="12"/>
        <v>0</v>
      </c>
      <c r="F254" s="1">
        <f>VLOOKUP(C254,'Raw Data'!$A$1:$L$417,2,FALSE)</f>
        <v>7.3605457497480176</v>
      </c>
      <c r="G254" s="84">
        <f t="shared" si="15"/>
        <v>109.67137072920151</v>
      </c>
      <c r="H254" s="12">
        <f t="shared" si="14"/>
        <v>0</v>
      </c>
      <c r="I254">
        <f t="shared" si="13"/>
        <v>1</v>
      </c>
    </row>
    <row r="255" spans="2:9" x14ac:dyDescent="0.3">
      <c r="B255" s="12">
        <f>VLOOKUP(C255,'Raw Data'!$A$1:$I$417,9,FALSE)</f>
        <v>1</v>
      </c>
      <c r="C255">
        <v>237</v>
      </c>
      <c r="D255">
        <f>COUNTIF(Replication!$B$2:$ML$100,C255)</f>
        <v>0</v>
      </c>
      <c r="E255" s="26">
        <f t="shared" si="12"/>
        <v>0</v>
      </c>
      <c r="F255" s="1">
        <f>VLOOKUP(C255,'Raw Data'!$A$1:$L$417,2,FALSE)</f>
        <v>3.1091345564660191</v>
      </c>
      <c r="G255" s="84">
        <f t="shared" si="15"/>
        <v>106.5622361727355</v>
      </c>
      <c r="H255" s="12">
        <f t="shared" si="14"/>
        <v>1</v>
      </c>
      <c r="I255">
        <f t="shared" si="13"/>
        <v>1</v>
      </c>
    </row>
    <row r="256" spans="2:9" x14ac:dyDescent="0.3">
      <c r="B256" s="12">
        <f>VLOOKUP(C256,'Raw Data'!$A$1:$I$417,9,FALSE)</f>
        <v>0</v>
      </c>
      <c r="C256">
        <v>552</v>
      </c>
      <c r="D256">
        <f>COUNTIF(Replication!$B$2:$ML$100,C256)</f>
        <v>0</v>
      </c>
      <c r="E256" s="26">
        <f t="shared" si="12"/>
        <v>0</v>
      </c>
      <c r="F256" s="1">
        <f>VLOOKUP(C256,'Raw Data'!$A$1:$L$417,2,FALSE)</f>
        <v>7.9125297320670285</v>
      </c>
      <c r="G256" s="84">
        <f t="shared" si="15"/>
        <v>106.5622361727355</v>
      </c>
      <c r="H256" s="12">
        <f t="shared" si="14"/>
        <v>0</v>
      </c>
      <c r="I256">
        <f t="shared" si="13"/>
        <v>1</v>
      </c>
    </row>
    <row r="257" spans="2:9" x14ac:dyDescent="0.3">
      <c r="B257" s="12">
        <f>VLOOKUP(C257,'Raw Data'!$A$1:$I$417,9,FALSE)</f>
        <v>0</v>
      </c>
      <c r="C257">
        <v>860</v>
      </c>
      <c r="D257">
        <f>COUNTIF(Replication!$B$2:$ML$100,C257)</f>
        <v>0</v>
      </c>
      <c r="E257" s="26">
        <f t="shared" si="12"/>
        <v>0</v>
      </c>
      <c r="F257" s="1">
        <f>VLOOKUP(C257,'Raw Data'!$A$1:$L$417,2,FALSE)</f>
        <v>7.1784982531228199</v>
      </c>
      <c r="G257" s="84">
        <f t="shared" si="15"/>
        <v>106.5622361727355</v>
      </c>
      <c r="H257" s="12">
        <f t="shared" si="14"/>
        <v>0</v>
      </c>
      <c r="I257">
        <f t="shared" si="13"/>
        <v>1</v>
      </c>
    </row>
    <row r="258" spans="2:9" x14ac:dyDescent="0.3">
      <c r="B258" s="12">
        <f>VLOOKUP(C258,'Raw Data'!$A$1:$I$417,9,FALSE)</f>
        <v>1</v>
      </c>
      <c r="C258">
        <v>921</v>
      </c>
      <c r="D258">
        <f>COUNTIF(Replication!$B$2:$ML$100,C258)</f>
        <v>0</v>
      </c>
      <c r="E258" s="26">
        <f t="shared" ref="E258:E321" si="16">D258/50</f>
        <v>0</v>
      </c>
      <c r="F258" s="1">
        <f>VLOOKUP(C258,'Raw Data'!$A$1:$L$417,2,FALSE)</f>
        <v>2.5440431296332422</v>
      </c>
      <c r="G258" s="84">
        <f t="shared" si="15"/>
        <v>104.01819304310226</v>
      </c>
      <c r="H258" s="12">
        <f t="shared" si="14"/>
        <v>1</v>
      </c>
      <c r="I258">
        <f t="shared" ref="I258:I321" si="17">IF(H258=B258,1,0)</f>
        <v>1</v>
      </c>
    </row>
    <row r="259" spans="2:9" x14ac:dyDescent="0.3">
      <c r="B259" s="12">
        <f>VLOOKUP(C259,'Raw Data'!$A$1:$I$417,9,FALSE)</f>
        <v>1</v>
      </c>
      <c r="C259">
        <v>321</v>
      </c>
      <c r="D259">
        <f>COUNTIF(Replication!$B$2:$ML$100,C259)</f>
        <v>0</v>
      </c>
      <c r="E259" s="26">
        <f t="shared" si="16"/>
        <v>0</v>
      </c>
      <c r="F259" s="1">
        <f>VLOOKUP(C259,'Raw Data'!$A$1:$L$417,2,FALSE)</f>
        <v>4.4899206563214591</v>
      </c>
      <c r="G259" s="84">
        <f t="shared" si="15"/>
        <v>99.528272386780799</v>
      </c>
      <c r="H259" s="12">
        <f t="shared" ref="H259:H322" si="18">IF(G259&gt;0,IF(B259&gt;0,1,0),0)</f>
        <v>1</v>
      </c>
      <c r="I259">
        <f t="shared" si="17"/>
        <v>1</v>
      </c>
    </row>
    <row r="260" spans="2:9" x14ac:dyDescent="0.3">
      <c r="B260" s="12">
        <f>VLOOKUP(C260,'Raw Data'!$A$1:$I$417,9,FALSE)</f>
        <v>0</v>
      </c>
      <c r="C260">
        <v>41</v>
      </c>
      <c r="D260">
        <f>COUNTIF(Replication!$B$2:$ML$100,C260)</f>
        <v>0</v>
      </c>
      <c r="E260" s="26">
        <f t="shared" si="16"/>
        <v>0</v>
      </c>
      <c r="F260" s="1">
        <f>VLOOKUP(C260,'Raw Data'!$A$1:$L$417,2,FALSE)</f>
        <v>4.3288470126141601</v>
      </c>
      <c r="G260" s="84">
        <f t="shared" ref="G260:G323" si="19">IF(B260&gt;0,G259-F260,G259)</f>
        <v>99.528272386780799</v>
      </c>
      <c r="H260" s="12">
        <f t="shared" si="18"/>
        <v>0</v>
      </c>
      <c r="I260">
        <f t="shared" si="17"/>
        <v>1</v>
      </c>
    </row>
    <row r="261" spans="2:9" x14ac:dyDescent="0.3">
      <c r="B261" s="12">
        <f>VLOOKUP(C261,'Raw Data'!$A$1:$I$417,9,FALSE)</f>
        <v>0</v>
      </c>
      <c r="C261">
        <v>618</v>
      </c>
      <c r="D261">
        <f>COUNTIF(Replication!$B$2:$ML$100,C261)</f>
        <v>0</v>
      </c>
      <c r="E261" s="26">
        <f t="shared" si="16"/>
        <v>0</v>
      </c>
      <c r="F261" s="1">
        <f>VLOOKUP(C261,'Raw Data'!$A$1:$L$417,2,FALSE)</f>
        <v>1.9363829889535311</v>
      </c>
      <c r="G261" s="84">
        <f t="shared" si="19"/>
        <v>99.528272386780799</v>
      </c>
      <c r="H261" s="12">
        <f t="shared" si="18"/>
        <v>0</v>
      </c>
      <c r="I261">
        <f t="shared" si="17"/>
        <v>1</v>
      </c>
    </row>
    <row r="262" spans="2:9" x14ac:dyDescent="0.3">
      <c r="B262" s="12">
        <f>VLOOKUP(C262,'Raw Data'!$A$1:$I$417,9,FALSE)</f>
        <v>0</v>
      </c>
      <c r="C262">
        <v>993</v>
      </c>
      <c r="D262">
        <f>COUNTIF(Replication!$B$2:$ML$100,C262)</f>
        <v>0</v>
      </c>
      <c r="E262" s="26">
        <f t="shared" si="16"/>
        <v>0</v>
      </c>
      <c r="F262" s="1">
        <f>VLOOKUP(C262,'Raw Data'!$A$1:$L$417,2,FALSE)</f>
        <v>1.5132776239129375</v>
      </c>
      <c r="G262" s="84">
        <f t="shared" si="19"/>
        <v>99.528272386780799</v>
      </c>
      <c r="H262" s="12">
        <f t="shared" si="18"/>
        <v>0</v>
      </c>
      <c r="I262">
        <f t="shared" si="17"/>
        <v>1</v>
      </c>
    </row>
    <row r="263" spans="2:9" x14ac:dyDescent="0.3">
      <c r="B263" s="12">
        <f>VLOOKUP(C263,'Raw Data'!$A$1:$I$417,9,FALSE)</f>
        <v>0</v>
      </c>
      <c r="C263">
        <v>718</v>
      </c>
      <c r="D263">
        <f>COUNTIF(Replication!$B$2:$ML$100,C263)</f>
        <v>0</v>
      </c>
      <c r="E263" s="26">
        <f t="shared" si="16"/>
        <v>0</v>
      </c>
      <c r="F263" s="1">
        <f>VLOOKUP(C263,'Raw Data'!$A$1:$L$417,2,FALSE)</f>
        <v>0.60515355112073177</v>
      </c>
      <c r="G263" s="84">
        <f t="shared" si="19"/>
        <v>99.528272386780799</v>
      </c>
      <c r="H263" s="12">
        <f t="shared" si="18"/>
        <v>0</v>
      </c>
      <c r="I263">
        <f t="shared" si="17"/>
        <v>1</v>
      </c>
    </row>
    <row r="264" spans="2:9" x14ac:dyDescent="0.3">
      <c r="B264" s="12">
        <f>VLOOKUP(C264,'Raw Data'!$A$1:$I$417,9,FALSE)</f>
        <v>1</v>
      </c>
      <c r="C264">
        <v>1022</v>
      </c>
      <c r="D264">
        <f>COUNTIF(Replication!$B$2:$ML$100,C264)</f>
        <v>0</v>
      </c>
      <c r="E264" s="26">
        <f t="shared" si="16"/>
        <v>0</v>
      </c>
      <c r="F264" s="1">
        <f>VLOOKUP(C264,'Raw Data'!$A$1:$L$417,2,FALSE)</f>
        <v>0.72125501653300006</v>
      </c>
      <c r="G264" s="84">
        <f t="shared" si="19"/>
        <v>98.807017370247792</v>
      </c>
      <c r="H264" s="12">
        <f t="shared" si="18"/>
        <v>1</v>
      </c>
      <c r="I264">
        <f t="shared" si="17"/>
        <v>1</v>
      </c>
    </row>
    <row r="265" spans="2:9" x14ac:dyDescent="0.3">
      <c r="B265" s="12">
        <f>VLOOKUP(C265,'Raw Data'!$A$1:$I$417,9,FALSE)</f>
        <v>0</v>
      </c>
      <c r="C265">
        <v>732</v>
      </c>
      <c r="D265">
        <f>COUNTIF(Replication!$B$2:$ML$100,C265)</f>
        <v>0</v>
      </c>
      <c r="E265" s="26">
        <f t="shared" si="16"/>
        <v>0</v>
      </c>
      <c r="F265" s="1">
        <f>VLOOKUP(C265,'Raw Data'!$A$1:$L$417,2,FALSE)</f>
        <v>7.9488399781019332</v>
      </c>
      <c r="G265" s="84">
        <f t="shared" si="19"/>
        <v>98.807017370247792</v>
      </c>
      <c r="H265" s="12">
        <f t="shared" si="18"/>
        <v>0</v>
      </c>
      <c r="I265">
        <f t="shared" si="17"/>
        <v>1</v>
      </c>
    </row>
    <row r="266" spans="2:9" x14ac:dyDescent="0.3">
      <c r="B266" s="12">
        <f>VLOOKUP(C266,'Raw Data'!$A$1:$I$417,9,FALSE)</f>
        <v>1</v>
      </c>
      <c r="C266">
        <v>984</v>
      </c>
      <c r="D266">
        <f>COUNTIF(Replication!$B$2:$ML$100,C266)</f>
        <v>0</v>
      </c>
      <c r="E266" s="26">
        <f t="shared" si="16"/>
        <v>0</v>
      </c>
      <c r="F266" s="1">
        <f>VLOOKUP(C266,'Raw Data'!$A$1:$L$417,2,FALSE)</f>
        <v>4.6998538627391362</v>
      </c>
      <c r="G266" s="84">
        <f t="shared" si="19"/>
        <v>94.107163507508659</v>
      </c>
      <c r="H266" s="12">
        <f t="shared" si="18"/>
        <v>1</v>
      </c>
      <c r="I266">
        <f t="shared" si="17"/>
        <v>1</v>
      </c>
    </row>
    <row r="267" spans="2:9" x14ac:dyDescent="0.3">
      <c r="B267" s="12">
        <f>VLOOKUP(C267,'Raw Data'!$A$1:$I$417,9,FALSE)</f>
        <v>0</v>
      </c>
      <c r="C267">
        <v>100</v>
      </c>
      <c r="D267">
        <f>COUNTIF(Replication!$B$2:$ML$100,C267)</f>
        <v>0</v>
      </c>
      <c r="E267" s="26">
        <f t="shared" si="16"/>
        <v>0</v>
      </c>
      <c r="F267" s="1">
        <f>VLOOKUP(C267,'Raw Data'!$A$1:$L$417,2,FALSE)</f>
        <v>7.424306049298778</v>
      </c>
      <c r="G267" s="84">
        <f t="shared" si="19"/>
        <v>94.107163507508659</v>
      </c>
      <c r="H267" s="12">
        <f t="shared" si="18"/>
        <v>0</v>
      </c>
      <c r="I267">
        <f t="shared" si="17"/>
        <v>1</v>
      </c>
    </row>
    <row r="268" spans="2:9" x14ac:dyDescent="0.3">
      <c r="B268" s="12">
        <f>VLOOKUP(C268,'Raw Data'!$A$1:$I$417,9,FALSE)</f>
        <v>0</v>
      </c>
      <c r="C268">
        <v>48</v>
      </c>
      <c r="D268">
        <f>COUNTIF(Replication!$B$2:$ML$100,C268)</f>
        <v>0</v>
      </c>
      <c r="E268" s="26">
        <f t="shared" si="16"/>
        <v>0</v>
      </c>
      <c r="F268" s="1">
        <f>VLOOKUP(C268,'Raw Data'!$A$1:$L$417,2,FALSE)</f>
        <v>6.6302417029515031</v>
      </c>
      <c r="G268" s="84">
        <f t="shared" si="19"/>
        <v>94.107163507508659</v>
      </c>
      <c r="H268" s="12">
        <f t="shared" si="18"/>
        <v>0</v>
      </c>
      <c r="I268">
        <f t="shared" si="17"/>
        <v>1</v>
      </c>
    </row>
    <row r="269" spans="2:9" x14ac:dyDescent="0.3">
      <c r="B269" s="12">
        <f>VLOOKUP(C269,'Raw Data'!$A$1:$I$417,9,FALSE)</f>
        <v>1</v>
      </c>
      <c r="C269">
        <v>1015</v>
      </c>
      <c r="D269">
        <f>COUNTIF(Replication!$B$2:$ML$100,C269)</f>
        <v>0</v>
      </c>
      <c r="E269" s="26">
        <f t="shared" si="16"/>
        <v>0</v>
      </c>
      <c r="F269" s="1">
        <f>VLOOKUP(C269,'Raw Data'!$A$1:$L$417,2,FALSE)</f>
        <v>6.5411651133804725</v>
      </c>
      <c r="G269" s="84">
        <f t="shared" si="19"/>
        <v>87.565998394128187</v>
      </c>
      <c r="H269" s="12">
        <f t="shared" si="18"/>
        <v>1</v>
      </c>
      <c r="I269">
        <f t="shared" si="17"/>
        <v>1</v>
      </c>
    </row>
    <row r="270" spans="2:9" x14ac:dyDescent="0.3">
      <c r="B270" s="12">
        <f>VLOOKUP(C270,'Raw Data'!$A$1:$I$417,9,FALSE)</f>
        <v>0</v>
      </c>
      <c r="C270">
        <v>1088</v>
      </c>
      <c r="D270">
        <f>COUNTIF(Replication!$B$2:$ML$100,C270)</f>
        <v>0</v>
      </c>
      <c r="E270" s="26">
        <f t="shared" si="16"/>
        <v>0</v>
      </c>
      <c r="F270" s="1">
        <f>VLOOKUP(C270,'Raw Data'!$A$1:$L$417,2,FALSE)</f>
        <v>3.4154874991074644</v>
      </c>
      <c r="G270" s="84">
        <f t="shared" si="19"/>
        <v>87.565998394128187</v>
      </c>
      <c r="H270" s="12">
        <f t="shared" si="18"/>
        <v>0</v>
      </c>
      <c r="I270">
        <f t="shared" si="17"/>
        <v>1</v>
      </c>
    </row>
    <row r="271" spans="2:9" x14ac:dyDescent="0.3">
      <c r="B271" s="12">
        <f>VLOOKUP(C271,'Raw Data'!$A$1:$I$417,9,FALSE)</f>
        <v>0</v>
      </c>
      <c r="C271">
        <v>408</v>
      </c>
      <c r="D271">
        <f>COUNTIF(Replication!$B$2:$ML$100,C271)</f>
        <v>0</v>
      </c>
      <c r="E271" s="26">
        <f t="shared" si="16"/>
        <v>0</v>
      </c>
      <c r="F271" s="1">
        <f>VLOOKUP(C271,'Raw Data'!$A$1:$L$417,2,FALSE)</f>
        <v>3.1328311926868349</v>
      </c>
      <c r="G271" s="84">
        <f t="shared" si="19"/>
        <v>87.565998394128187</v>
      </c>
      <c r="H271" s="12">
        <f t="shared" si="18"/>
        <v>0</v>
      </c>
      <c r="I271">
        <f t="shared" si="17"/>
        <v>1</v>
      </c>
    </row>
    <row r="272" spans="2:9" x14ac:dyDescent="0.3">
      <c r="B272" s="12">
        <f>VLOOKUP(C272,'Raw Data'!$A$1:$I$417,9,FALSE)</f>
        <v>1</v>
      </c>
      <c r="C272">
        <v>787</v>
      </c>
      <c r="D272">
        <f>COUNTIF(Replication!$B$2:$ML$100,C272)</f>
        <v>0</v>
      </c>
      <c r="E272" s="26">
        <f t="shared" si="16"/>
        <v>0</v>
      </c>
      <c r="F272" s="1">
        <f>VLOOKUP(C272,'Raw Data'!$A$1:$L$417,2,FALSE)</f>
        <v>2.1268036754128983</v>
      </c>
      <c r="G272" s="84">
        <f t="shared" si="19"/>
        <v>85.439194718715285</v>
      </c>
      <c r="H272" s="12">
        <f t="shared" si="18"/>
        <v>1</v>
      </c>
      <c r="I272">
        <f t="shared" si="17"/>
        <v>1</v>
      </c>
    </row>
    <row r="273" spans="2:9" x14ac:dyDescent="0.3">
      <c r="B273" s="12">
        <f>VLOOKUP(C273,'Raw Data'!$A$1:$I$417,9,FALSE)</f>
        <v>0</v>
      </c>
      <c r="C273">
        <v>807</v>
      </c>
      <c r="D273">
        <f>COUNTIF(Replication!$B$2:$ML$100,C273)</f>
        <v>0</v>
      </c>
      <c r="E273" s="26">
        <f t="shared" si="16"/>
        <v>0</v>
      </c>
      <c r="F273" s="1">
        <f>VLOOKUP(C273,'Raw Data'!$A$1:$L$417,2,FALSE)</f>
        <v>1.9039518524618415</v>
      </c>
      <c r="G273" s="84">
        <f t="shared" si="19"/>
        <v>85.439194718715285</v>
      </c>
      <c r="H273" s="12">
        <f t="shared" si="18"/>
        <v>0</v>
      </c>
      <c r="I273">
        <f t="shared" si="17"/>
        <v>1</v>
      </c>
    </row>
    <row r="274" spans="2:9" x14ac:dyDescent="0.3">
      <c r="B274" s="12">
        <f>VLOOKUP(C274,'Raw Data'!$A$1:$I$417,9,FALSE)</f>
        <v>0</v>
      </c>
      <c r="C274">
        <v>931</v>
      </c>
      <c r="D274">
        <f>COUNTIF(Replication!$B$2:$ML$100,C274)</f>
        <v>0</v>
      </c>
      <c r="E274" s="26">
        <f t="shared" si="16"/>
        <v>0</v>
      </c>
      <c r="F274" s="1">
        <f>VLOOKUP(C274,'Raw Data'!$A$1:$L$417,2,FALSE)</f>
        <v>2.7904960506969556</v>
      </c>
      <c r="G274" s="84">
        <f t="shared" si="19"/>
        <v>85.439194718715285</v>
      </c>
      <c r="H274" s="12">
        <f t="shared" si="18"/>
        <v>0</v>
      </c>
      <c r="I274">
        <f t="shared" si="17"/>
        <v>1</v>
      </c>
    </row>
    <row r="275" spans="2:9" x14ac:dyDescent="0.3">
      <c r="B275" s="12">
        <f>VLOOKUP(C275,'Raw Data'!$A$1:$I$417,9,FALSE)</f>
        <v>0</v>
      </c>
      <c r="C275">
        <v>127</v>
      </c>
      <c r="D275">
        <f>COUNTIF(Replication!$B$2:$ML$100,C275)</f>
        <v>0</v>
      </c>
      <c r="E275" s="26">
        <f t="shared" si="16"/>
        <v>0</v>
      </c>
      <c r="F275" s="1">
        <f>VLOOKUP(C275,'Raw Data'!$A$1:$L$417,2,FALSE)</f>
        <v>0.78425198697655851</v>
      </c>
      <c r="G275" s="84">
        <f t="shared" si="19"/>
        <v>85.439194718715285</v>
      </c>
      <c r="H275" s="12">
        <f t="shared" si="18"/>
        <v>0</v>
      </c>
      <c r="I275">
        <f t="shared" si="17"/>
        <v>1</v>
      </c>
    </row>
    <row r="276" spans="2:9" x14ac:dyDescent="0.3">
      <c r="B276" s="12">
        <f>VLOOKUP(C276,'Raw Data'!$A$1:$I$417,9,FALSE)</f>
        <v>0</v>
      </c>
      <c r="C276">
        <v>229</v>
      </c>
      <c r="D276">
        <f>COUNTIF(Replication!$B$2:$ML$100,C276)</f>
        <v>0</v>
      </c>
      <c r="E276" s="26">
        <f t="shared" si="16"/>
        <v>0</v>
      </c>
      <c r="F276" s="1">
        <f>VLOOKUP(C276,'Raw Data'!$A$1:$L$417,2,FALSE)</f>
        <v>1.9197897374801554</v>
      </c>
      <c r="G276" s="84">
        <f t="shared" si="19"/>
        <v>85.439194718715285</v>
      </c>
      <c r="H276" s="12">
        <f t="shared" si="18"/>
        <v>0</v>
      </c>
      <c r="I276">
        <f t="shared" si="17"/>
        <v>1</v>
      </c>
    </row>
    <row r="277" spans="2:9" x14ac:dyDescent="0.3">
      <c r="B277" s="12">
        <f>VLOOKUP(C277,'Raw Data'!$A$1:$I$417,9,FALSE)</f>
        <v>0</v>
      </c>
      <c r="C277">
        <v>230</v>
      </c>
      <c r="D277">
        <f>COUNTIF(Replication!$B$2:$ML$100,C277)</f>
        <v>0</v>
      </c>
      <c r="E277" s="26">
        <f t="shared" si="16"/>
        <v>0</v>
      </c>
      <c r="F277" s="1">
        <f>VLOOKUP(C277,'Raw Data'!$A$1:$L$417,2,FALSE)</f>
        <v>2.6857950774990522</v>
      </c>
      <c r="G277" s="84">
        <f t="shared" si="19"/>
        <v>85.439194718715285</v>
      </c>
      <c r="H277" s="12">
        <f t="shared" si="18"/>
        <v>0</v>
      </c>
      <c r="I277">
        <f t="shared" si="17"/>
        <v>1</v>
      </c>
    </row>
    <row r="278" spans="2:9" x14ac:dyDescent="0.3">
      <c r="B278" s="12">
        <f>VLOOKUP(C278,'Raw Data'!$A$1:$I$417,9,FALSE)</f>
        <v>0</v>
      </c>
      <c r="C278">
        <v>1098</v>
      </c>
      <c r="D278">
        <f>COUNTIF(Replication!$B$2:$ML$100,C278)</f>
        <v>0</v>
      </c>
      <c r="E278" s="26">
        <f t="shared" si="16"/>
        <v>0</v>
      </c>
      <c r="F278" s="1">
        <f>VLOOKUP(C278,'Raw Data'!$A$1:$L$417,2,FALSE)</f>
        <v>0.69534260741033416</v>
      </c>
      <c r="G278" s="84">
        <f t="shared" si="19"/>
        <v>85.439194718715285</v>
      </c>
      <c r="H278" s="12">
        <f t="shared" si="18"/>
        <v>0</v>
      </c>
      <c r="I278">
        <f t="shared" si="17"/>
        <v>1</v>
      </c>
    </row>
    <row r="279" spans="2:9" x14ac:dyDescent="0.3">
      <c r="B279" s="12">
        <f>VLOOKUP(C279,'Raw Data'!$A$1:$I$417,9,FALSE)</f>
        <v>1</v>
      </c>
      <c r="C279">
        <v>8</v>
      </c>
      <c r="D279">
        <f>COUNTIF(Replication!$B$2:$ML$100,C279)</f>
        <v>0</v>
      </c>
      <c r="E279" s="26">
        <f t="shared" si="16"/>
        <v>0</v>
      </c>
      <c r="F279" s="1">
        <f>VLOOKUP(C279,'Raw Data'!$A$1:$L$417,2,FALSE)</f>
        <v>7.0719385776231567</v>
      </c>
      <c r="G279" s="84">
        <f t="shared" si="19"/>
        <v>78.367256141092128</v>
      </c>
      <c r="H279" s="12">
        <f t="shared" si="18"/>
        <v>1</v>
      </c>
      <c r="I279">
        <f t="shared" si="17"/>
        <v>1</v>
      </c>
    </row>
    <row r="280" spans="2:9" x14ac:dyDescent="0.3">
      <c r="B280" s="12">
        <f>VLOOKUP(C280,'Raw Data'!$A$1:$I$417,9,FALSE)</f>
        <v>0</v>
      </c>
      <c r="C280">
        <v>800</v>
      </c>
      <c r="D280">
        <f>COUNTIF(Replication!$B$2:$ML$100,C280)</f>
        <v>0</v>
      </c>
      <c r="E280" s="26">
        <f t="shared" si="16"/>
        <v>0</v>
      </c>
      <c r="F280" s="1">
        <f>VLOOKUP(C280,'Raw Data'!$A$1:$L$417,2,FALSE)</f>
        <v>9.3310756405959623</v>
      </c>
      <c r="G280" s="84">
        <f t="shared" si="19"/>
        <v>78.367256141092128</v>
      </c>
      <c r="H280" s="12">
        <f t="shared" si="18"/>
        <v>0</v>
      </c>
      <c r="I280">
        <f t="shared" si="17"/>
        <v>1</v>
      </c>
    </row>
    <row r="281" spans="2:9" x14ac:dyDescent="0.3">
      <c r="B281" s="12">
        <f>VLOOKUP(C281,'Raw Data'!$A$1:$I$417,9,FALSE)</f>
        <v>0</v>
      </c>
      <c r="C281">
        <v>244</v>
      </c>
      <c r="D281">
        <f>COUNTIF(Replication!$B$2:$ML$100,C281)</f>
        <v>0</v>
      </c>
      <c r="E281" s="26">
        <f t="shared" si="16"/>
        <v>0</v>
      </c>
      <c r="F281" s="1">
        <f>VLOOKUP(C281,'Raw Data'!$A$1:$L$417,2,FALSE)</f>
        <v>7.5436734072691518</v>
      </c>
      <c r="G281" s="84">
        <f t="shared" si="19"/>
        <v>78.367256141092128</v>
      </c>
      <c r="H281" s="12">
        <f t="shared" si="18"/>
        <v>0</v>
      </c>
      <c r="I281">
        <f t="shared" si="17"/>
        <v>1</v>
      </c>
    </row>
    <row r="282" spans="2:9" x14ac:dyDescent="0.3">
      <c r="B282" s="12">
        <f>VLOOKUP(C282,'Raw Data'!$A$1:$I$417,9,FALSE)</f>
        <v>1</v>
      </c>
      <c r="C282">
        <v>279</v>
      </c>
      <c r="D282">
        <f>COUNTIF(Replication!$B$2:$ML$100,C282)</f>
        <v>0</v>
      </c>
      <c r="E282" s="26">
        <f t="shared" si="16"/>
        <v>0</v>
      </c>
      <c r="F282" s="1">
        <f>VLOOKUP(C282,'Raw Data'!$A$1:$L$417,2,FALSE)</f>
        <v>3.0704284029135276</v>
      </c>
      <c r="G282" s="84">
        <f t="shared" si="19"/>
        <v>75.296827738178607</v>
      </c>
      <c r="H282" s="12">
        <f t="shared" si="18"/>
        <v>1</v>
      </c>
      <c r="I282">
        <f t="shared" si="17"/>
        <v>1</v>
      </c>
    </row>
    <row r="283" spans="2:9" x14ac:dyDescent="0.3">
      <c r="B283" s="12">
        <f>VLOOKUP(C283,'Raw Data'!$A$1:$I$417,9,FALSE)</f>
        <v>0</v>
      </c>
      <c r="C283">
        <v>418</v>
      </c>
      <c r="D283">
        <f>COUNTIF(Replication!$B$2:$ML$100,C283)</f>
        <v>0</v>
      </c>
      <c r="E283" s="26">
        <f t="shared" si="16"/>
        <v>0</v>
      </c>
      <c r="F283" s="1">
        <f>VLOOKUP(C283,'Raw Data'!$A$1:$L$417,2,FALSE)</f>
        <v>1.1510867564782989</v>
      </c>
      <c r="G283" s="84">
        <f t="shared" si="19"/>
        <v>75.296827738178607</v>
      </c>
      <c r="H283" s="12">
        <f t="shared" si="18"/>
        <v>0</v>
      </c>
      <c r="I283">
        <f t="shared" si="17"/>
        <v>1</v>
      </c>
    </row>
    <row r="284" spans="2:9" x14ac:dyDescent="0.3">
      <c r="B284" s="12">
        <f>VLOOKUP(C284,'Raw Data'!$A$1:$I$417,9,FALSE)</f>
        <v>0</v>
      </c>
      <c r="C284">
        <v>839</v>
      </c>
      <c r="D284">
        <f>COUNTIF(Replication!$B$2:$ML$100,C284)</f>
        <v>0</v>
      </c>
      <c r="E284" s="26">
        <f t="shared" si="16"/>
        <v>0</v>
      </c>
      <c r="F284" s="1">
        <f>VLOOKUP(C284,'Raw Data'!$A$1:$L$417,2,FALSE)</f>
        <v>6.4512495725591688</v>
      </c>
      <c r="G284" s="84">
        <f t="shared" si="19"/>
        <v>75.296827738178607</v>
      </c>
      <c r="H284" s="12">
        <f t="shared" si="18"/>
        <v>0</v>
      </c>
      <c r="I284">
        <f t="shared" si="17"/>
        <v>1</v>
      </c>
    </row>
    <row r="285" spans="2:9" x14ac:dyDescent="0.3">
      <c r="B285" s="12">
        <f>VLOOKUP(C285,'Raw Data'!$A$1:$I$417,9,FALSE)</f>
        <v>0</v>
      </c>
      <c r="C285">
        <v>16</v>
      </c>
      <c r="D285">
        <f>COUNTIF(Replication!$B$2:$ML$100,C285)</f>
        <v>0</v>
      </c>
      <c r="E285" s="26">
        <f t="shared" si="16"/>
        <v>0</v>
      </c>
      <c r="F285" s="1">
        <f>VLOOKUP(C285,'Raw Data'!$A$1:$L$417,2,FALSE)</f>
        <v>6.5402017461972184</v>
      </c>
      <c r="G285" s="84">
        <f t="shared" si="19"/>
        <v>75.296827738178607</v>
      </c>
      <c r="H285" s="12">
        <f t="shared" si="18"/>
        <v>0</v>
      </c>
      <c r="I285">
        <f t="shared" si="17"/>
        <v>1</v>
      </c>
    </row>
    <row r="286" spans="2:9" x14ac:dyDescent="0.3">
      <c r="B286" s="12">
        <f>VLOOKUP(C286,'Raw Data'!$A$1:$I$417,9,FALSE)</f>
        <v>0</v>
      </c>
      <c r="C286">
        <v>684</v>
      </c>
      <c r="D286">
        <f>COUNTIF(Replication!$B$2:$ML$100,C286)</f>
        <v>0</v>
      </c>
      <c r="E286" s="26">
        <f t="shared" si="16"/>
        <v>0</v>
      </c>
      <c r="F286" s="1">
        <f>VLOOKUP(C286,'Raw Data'!$A$1:$L$417,2,FALSE)</f>
        <v>7.1141737071219975</v>
      </c>
      <c r="G286" s="84">
        <f t="shared" si="19"/>
        <v>75.296827738178607</v>
      </c>
      <c r="H286" s="12">
        <f t="shared" si="18"/>
        <v>0</v>
      </c>
      <c r="I286">
        <f t="shared" si="17"/>
        <v>1</v>
      </c>
    </row>
    <row r="287" spans="2:9" x14ac:dyDescent="0.3">
      <c r="B287" s="12">
        <f>VLOOKUP(C287,'Raw Data'!$A$1:$I$417,9,FALSE)</f>
        <v>0</v>
      </c>
      <c r="C287">
        <v>1027</v>
      </c>
      <c r="D287">
        <f>COUNTIF(Replication!$B$2:$ML$100,C287)</f>
        <v>0</v>
      </c>
      <c r="E287" s="26">
        <f t="shared" si="16"/>
        <v>0</v>
      </c>
      <c r="F287" s="1">
        <f>VLOOKUP(C287,'Raw Data'!$A$1:$L$417,2,FALSE)</f>
        <v>8.9329644561621961</v>
      </c>
      <c r="G287" s="84">
        <f t="shared" si="19"/>
        <v>75.296827738178607</v>
      </c>
      <c r="H287" s="12">
        <f t="shared" si="18"/>
        <v>0</v>
      </c>
      <c r="I287">
        <f t="shared" si="17"/>
        <v>1</v>
      </c>
    </row>
    <row r="288" spans="2:9" x14ac:dyDescent="0.3">
      <c r="B288" s="12">
        <f>VLOOKUP(C288,'Raw Data'!$A$1:$I$417,9,FALSE)</f>
        <v>0</v>
      </c>
      <c r="C288">
        <v>546</v>
      </c>
      <c r="D288">
        <f>COUNTIF(Replication!$B$2:$ML$100,C288)</f>
        <v>0</v>
      </c>
      <c r="E288" s="26">
        <f t="shared" si="16"/>
        <v>0</v>
      </c>
      <c r="F288" s="1">
        <f>VLOOKUP(C288,'Raw Data'!$A$1:$L$417,2,FALSE)</f>
        <v>7.7609436941717203</v>
      </c>
      <c r="G288" s="84">
        <f t="shared" si="19"/>
        <v>75.296827738178607</v>
      </c>
      <c r="H288" s="12">
        <f t="shared" si="18"/>
        <v>0</v>
      </c>
      <c r="I288">
        <f t="shared" si="17"/>
        <v>1</v>
      </c>
    </row>
    <row r="289" spans="2:9" x14ac:dyDescent="0.3">
      <c r="B289" s="12">
        <f>VLOOKUP(C289,'Raw Data'!$A$1:$I$417,9,FALSE)</f>
        <v>0</v>
      </c>
      <c r="C289">
        <v>841</v>
      </c>
      <c r="D289">
        <f>COUNTIF(Replication!$B$2:$ML$100,C289)</f>
        <v>0</v>
      </c>
      <c r="E289" s="26">
        <f t="shared" si="16"/>
        <v>0</v>
      </c>
      <c r="F289" s="1">
        <f>VLOOKUP(C289,'Raw Data'!$A$1:$L$417,2,FALSE)</f>
        <v>9.5877300941731534</v>
      </c>
      <c r="G289" s="84">
        <f t="shared" si="19"/>
        <v>75.296827738178607</v>
      </c>
      <c r="H289" s="12">
        <f t="shared" si="18"/>
        <v>0</v>
      </c>
      <c r="I289">
        <f t="shared" si="17"/>
        <v>1</v>
      </c>
    </row>
    <row r="290" spans="2:9" x14ac:dyDescent="0.3">
      <c r="B290" s="12">
        <f>VLOOKUP(C290,'Raw Data'!$A$1:$I$417,9,FALSE)</f>
        <v>0</v>
      </c>
      <c r="C290">
        <v>528</v>
      </c>
      <c r="D290">
        <f>COUNTIF(Replication!$B$2:$ML$100,C290)</f>
        <v>0</v>
      </c>
      <c r="E290" s="26">
        <f t="shared" si="16"/>
        <v>0</v>
      </c>
      <c r="F290" s="1">
        <f>VLOOKUP(C290,'Raw Data'!$A$1:$L$417,2,FALSE)</f>
        <v>9.099825342945012</v>
      </c>
      <c r="G290" s="84">
        <f t="shared" si="19"/>
        <v>75.296827738178607</v>
      </c>
      <c r="H290" s="12">
        <f t="shared" si="18"/>
        <v>0</v>
      </c>
      <c r="I290">
        <f t="shared" si="17"/>
        <v>1</v>
      </c>
    </row>
    <row r="291" spans="2:9" x14ac:dyDescent="0.3">
      <c r="B291" s="12">
        <f>VLOOKUP(C291,'Raw Data'!$A$1:$I$417,9,FALSE)</f>
        <v>1</v>
      </c>
      <c r="C291">
        <v>1104</v>
      </c>
      <c r="D291">
        <f>COUNTIF(Replication!$B$2:$ML$100,C291)</f>
        <v>0</v>
      </c>
      <c r="E291" s="26">
        <f t="shared" si="16"/>
        <v>0</v>
      </c>
      <c r="F291" s="1">
        <f>VLOOKUP(C291,'Raw Data'!$A$1:$L$417,2,FALSE)</f>
        <v>2.4110866230520589</v>
      </c>
      <c r="G291" s="84">
        <f t="shared" si="19"/>
        <v>72.88574111512655</v>
      </c>
      <c r="H291" s="12">
        <f t="shared" si="18"/>
        <v>1</v>
      </c>
      <c r="I291">
        <f t="shared" si="17"/>
        <v>1</v>
      </c>
    </row>
    <row r="292" spans="2:9" x14ac:dyDescent="0.3">
      <c r="B292" s="12">
        <f>VLOOKUP(C292,'Raw Data'!$A$1:$I$417,9,FALSE)</f>
        <v>0</v>
      </c>
      <c r="C292">
        <v>694</v>
      </c>
      <c r="D292">
        <f>COUNTIF(Replication!$B$2:$ML$100,C292)</f>
        <v>0</v>
      </c>
      <c r="E292" s="26">
        <f t="shared" si="16"/>
        <v>0</v>
      </c>
      <c r="F292" s="1">
        <f>VLOOKUP(C292,'Raw Data'!$A$1:$L$417,2,FALSE)</f>
        <v>4.4021299494481658</v>
      </c>
      <c r="G292" s="84">
        <f t="shared" si="19"/>
        <v>72.88574111512655</v>
      </c>
      <c r="H292" s="12">
        <f t="shared" si="18"/>
        <v>0</v>
      </c>
      <c r="I292">
        <f t="shared" si="17"/>
        <v>1</v>
      </c>
    </row>
    <row r="293" spans="2:9" x14ac:dyDescent="0.3">
      <c r="B293" s="12">
        <f>VLOOKUP(C293,'Raw Data'!$A$1:$I$417,9,FALSE)</f>
        <v>0</v>
      </c>
      <c r="C293">
        <v>128</v>
      </c>
      <c r="D293">
        <f>COUNTIF(Replication!$B$2:$ML$100,C293)</f>
        <v>0</v>
      </c>
      <c r="E293" s="26">
        <f t="shared" si="16"/>
        <v>0</v>
      </c>
      <c r="F293" s="1">
        <f>VLOOKUP(C293,'Raw Data'!$A$1:$L$417,2,FALSE)</f>
        <v>3.1105955154469189</v>
      </c>
      <c r="G293" s="84">
        <f t="shared" si="19"/>
        <v>72.88574111512655</v>
      </c>
      <c r="H293" s="12">
        <f t="shared" si="18"/>
        <v>0</v>
      </c>
      <c r="I293">
        <f t="shared" si="17"/>
        <v>1</v>
      </c>
    </row>
    <row r="294" spans="2:9" x14ac:dyDescent="0.3">
      <c r="B294" s="12">
        <f>VLOOKUP(C294,'Raw Data'!$A$1:$I$417,9,FALSE)</f>
        <v>0</v>
      </c>
      <c r="C294">
        <v>680</v>
      </c>
      <c r="D294">
        <f>COUNTIF(Replication!$B$2:$ML$100,C294)</f>
        <v>0</v>
      </c>
      <c r="E294" s="26">
        <f t="shared" si="16"/>
        <v>0</v>
      </c>
      <c r="F294" s="1">
        <f>VLOOKUP(C294,'Raw Data'!$A$1:$L$417,2,FALSE)</f>
        <v>1.4747400412709999</v>
      </c>
      <c r="G294" s="84">
        <f t="shared" si="19"/>
        <v>72.88574111512655</v>
      </c>
      <c r="H294" s="12">
        <f t="shared" si="18"/>
        <v>0</v>
      </c>
      <c r="I294">
        <f t="shared" si="17"/>
        <v>1</v>
      </c>
    </row>
    <row r="295" spans="2:9" x14ac:dyDescent="0.3">
      <c r="B295" s="12">
        <f>VLOOKUP(C295,'Raw Data'!$A$1:$I$417,9,FALSE)</f>
        <v>0</v>
      </c>
      <c r="C295">
        <v>676</v>
      </c>
      <c r="D295">
        <f>COUNTIF(Replication!$B$2:$ML$100,C295)</f>
        <v>0</v>
      </c>
      <c r="E295" s="26">
        <f t="shared" si="16"/>
        <v>0</v>
      </c>
      <c r="F295" s="1">
        <f>VLOOKUP(C295,'Raw Data'!$A$1:$L$417,2,FALSE)</f>
        <v>8.336932961903079</v>
      </c>
      <c r="G295" s="84">
        <f t="shared" si="19"/>
        <v>72.88574111512655</v>
      </c>
      <c r="H295" s="12">
        <f t="shared" si="18"/>
        <v>0</v>
      </c>
      <c r="I295">
        <f t="shared" si="17"/>
        <v>1</v>
      </c>
    </row>
    <row r="296" spans="2:9" x14ac:dyDescent="0.3">
      <c r="B296" s="12">
        <f>VLOOKUP(C296,'Raw Data'!$A$1:$I$417,9,FALSE)</f>
        <v>0</v>
      </c>
      <c r="C296">
        <v>715</v>
      </c>
      <c r="D296">
        <f>COUNTIF(Replication!$B$2:$ML$100,C296)</f>
        <v>0</v>
      </c>
      <c r="E296" s="26">
        <f t="shared" si="16"/>
        <v>0</v>
      </c>
      <c r="F296" s="1">
        <f>VLOOKUP(C296,'Raw Data'!$A$1:$L$417,2,FALSE)</f>
        <v>3.2865315631582579</v>
      </c>
      <c r="G296" s="84">
        <f t="shared" si="19"/>
        <v>72.88574111512655</v>
      </c>
      <c r="H296" s="12">
        <f t="shared" si="18"/>
        <v>0</v>
      </c>
      <c r="I296">
        <f t="shared" si="17"/>
        <v>1</v>
      </c>
    </row>
    <row r="297" spans="2:9" x14ac:dyDescent="0.3">
      <c r="B297" s="12">
        <f>VLOOKUP(C297,'Raw Data'!$A$1:$I$417,9,FALSE)</f>
        <v>0</v>
      </c>
      <c r="C297">
        <v>688</v>
      </c>
      <c r="D297">
        <f>COUNTIF(Replication!$B$2:$ML$100,C297)</f>
        <v>0</v>
      </c>
      <c r="E297" s="26">
        <f t="shared" si="16"/>
        <v>0</v>
      </c>
      <c r="F297" s="1">
        <f>VLOOKUP(C297,'Raw Data'!$A$1:$L$417,2,FALSE)</f>
        <v>8.1679263733362717</v>
      </c>
      <c r="G297" s="84">
        <f t="shared" si="19"/>
        <v>72.88574111512655</v>
      </c>
      <c r="H297" s="12">
        <f t="shared" si="18"/>
        <v>0</v>
      </c>
      <c r="I297">
        <f t="shared" si="17"/>
        <v>1</v>
      </c>
    </row>
    <row r="298" spans="2:9" x14ac:dyDescent="0.3">
      <c r="B298" s="12">
        <f>VLOOKUP(C298,'Raw Data'!$A$1:$I$417,9,FALSE)</f>
        <v>1</v>
      </c>
      <c r="C298">
        <v>273</v>
      </c>
      <c r="D298">
        <f>COUNTIF(Replication!$B$2:$ML$100,C298)</f>
        <v>0</v>
      </c>
      <c r="E298" s="26">
        <f t="shared" si="16"/>
        <v>0</v>
      </c>
      <c r="F298" s="1">
        <f>VLOOKUP(C298,'Raw Data'!$A$1:$L$417,2,FALSE)</f>
        <v>3.2528975429176779</v>
      </c>
      <c r="G298" s="84">
        <f t="shared" si="19"/>
        <v>69.63284357220887</v>
      </c>
      <c r="H298" s="12">
        <f t="shared" si="18"/>
        <v>1</v>
      </c>
      <c r="I298">
        <f t="shared" si="17"/>
        <v>1</v>
      </c>
    </row>
    <row r="299" spans="2:9" x14ac:dyDescent="0.3">
      <c r="B299" s="12">
        <f>VLOOKUP(C299,'Raw Data'!$A$1:$I$417,9,FALSE)</f>
        <v>0</v>
      </c>
      <c r="C299">
        <v>634</v>
      </c>
      <c r="D299">
        <f>COUNTIF(Replication!$B$2:$ML$100,C299)</f>
        <v>0</v>
      </c>
      <c r="E299" s="26">
        <f t="shared" si="16"/>
        <v>0</v>
      </c>
      <c r="F299" s="1">
        <f>VLOOKUP(C299,'Raw Data'!$A$1:$L$417,2,FALSE)</f>
        <v>3.2000780254935224</v>
      </c>
      <c r="G299" s="84">
        <f t="shared" si="19"/>
        <v>69.63284357220887</v>
      </c>
      <c r="H299" s="12">
        <f t="shared" si="18"/>
        <v>0</v>
      </c>
      <c r="I299">
        <f t="shared" si="17"/>
        <v>1</v>
      </c>
    </row>
    <row r="300" spans="2:9" x14ac:dyDescent="0.3">
      <c r="B300" s="12">
        <f>VLOOKUP(C300,'Raw Data'!$A$1:$I$417,9,FALSE)</f>
        <v>0</v>
      </c>
      <c r="C300">
        <v>941</v>
      </c>
      <c r="D300">
        <f>COUNTIF(Replication!$B$2:$ML$100,C300)</f>
        <v>0</v>
      </c>
      <c r="E300" s="26">
        <f t="shared" si="16"/>
        <v>0</v>
      </c>
      <c r="F300" s="1">
        <f>VLOOKUP(C300,'Raw Data'!$A$1:$L$417,2,FALSE)</f>
        <v>1.9354733747805986</v>
      </c>
      <c r="G300" s="84">
        <f t="shared" si="19"/>
        <v>69.63284357220887</v>
      </c>
      <c r="H300" s="12">
        <f t="shared" si="18"/>
        <v>0</v>
      </c>
      <c r="I300">
        <f t="shared" si="17"/>
        <v>1</v>
      </c>
    </row>
    <row r="301" spans="2:9" x14ac:dyDescent="0.3">
      <c r="B301" s="12">
        <f>VLOOKUP(C301,'Raw Data'!$A$1:$I$417,9,FALSE)</f>
        <v>1</v>
      </c>
      <c r="C301">
        <v>792</v>
      </c>
      <c r="D301">
        <f>COUNTIF(Replication!$B$2:$ML$100,C301)</f>
        <v>0</v>
      </c>
      <c r="E301" s="26">
        <f t="shared" si="16"/>
        <v>0</v>
      </c>
      <c r="F301" s="1">
        <f>VLOOKUP(C301,'Raw Data'!$A$1:$L$417,2,FALSE)</f>
        <v>1.9455501288699617</v>
      </c>
      <c r="G301" s="84">
        <f t="shared" si="19"/>
        <v>67.687293443338902</v>
      </c>
      <c r="H301" s="12">
        <f t="shared" si="18"/>
        <v>1</v>
      </c>
      <c r="I301">
        <f t="shared" si="17"/>
        <v>1</v>
      </c>
    </row>
    <row r="302" spans="2:9" x14ac:dyDescent="0.3">
      <c r="B302" s="12">
        <f>VLOOKUP(C302,'Raw Data'!$A$1:$I$417,9,FALSE)</f>
        <v>0</v>
      </c>
      <c r="C302">
        <v>689</v>
      </c>
      <c r="D302">
        <f>COUNTIF(Replication!$B$2:$ML$100,C302)</f>
        <v>0</v>
      </c>
      <c r="E302" s="26">
        <f t="shared" si="16"/>
        <v>0</v>
      </c>
      <c r="F302" s="1">
        <f>VLOOKUP(C302,'Raw Data'!$A$1:$L$417,2,FALSE)</f>
        <v>2.7161772713823771</v>
      </c>
      <c r="G302" s="84">
        <f t="shared" si="19"/>
        <v>67.687293443338902</v>
      </c>
      <c r="H302" s="12">
        <f t="shared" si="18"/>
        <v>0</v>
      </c>
      <c r="I302">
        <f t="shared" si="17"/>
        <v>1</v>
      </c>
    </row>
    <row r="303" spans="2:9" x14ac:dyDescent="0.3">
      <c r="B303" s="12">
        <f>VLOOKUP(C303,'Raw Data'!$A$1:$I$417,9,FALSE)</f>
        <v>0</v>
      </c>
      <c r="C303">
        <v>1024</v>
      </c>
      <c r="D303">
        <f>COUNTIF(Replication!$B$2:$ML$100,C303)</f>
        <v>0</v>
      </c>
      <c r="E303" s="26">
        <f t="shared" si="16"/>
        <v>0</v>
      </c>
      <c r="F303" s="1">
        <f>VLOOKUP(C303,'Raw Data'!$A$1:$L$417,2,FALSE)</f>
        <v>2.2098162938863988</v>
      </c>
      <c r="G303" s="84">
        <f t="shared" si="19"/>
        <v>67.687293443338902</v>
      </c>
      <c r="H303" s="12">
        <f t="shared" si="18"/>
        <v>0</v>
      </c>
      <c r="I303">
        <f t="shared" si="17"/>
        <v>1</v>
      </c>
    </row>
    <row r="304" spans="2:9" x14ac:dyDescent="0.3">
      <c r="B304" s="12">
        <f>VLOOKUP(C304,'Raw Data'!$A$1:$I$417,9,FALSE)</f>
        <v>0</v>
      </c>
      <c r="C304">
        <v>910</v>
      </c>
      <c r="D304">
        <f>COUNTIF(Replication!$B$2:$ML$100,C304)</f>
        <v>0</v>
      </c>
      <c r="E304" s="26">
        <f t="shared" si="16"/>
        <v>0</v>
      </c>
      <c r="F304" s="1">
        <f>VLOOKUP(C304,'Raw Data'!$A$1:$L$417,2,FALSE)</f>
        <v>8.1000725738569574</v>
      </c>
      <c r="G304" s="84">
        <f t="shared" si="19"/>
        <v>67.687293443338902</v>
      </c>
      <c r="H304" s="12">
        <f t="shared" si="18"/>
        <v>0</v>
      </c>
      <c r="I304">
        <f t="shared" si="17"/>
        <v>1</v>
      </c>
    </row>
    <row r="305" spans="2:9" x14ac:dyDescent="0.3">
      <c r="B305" s="12">
        <f>VLOOKUP(C305,'Raw Data'!$A$1:$I$417,9,FALSE)</f>
        <v>0</v>
      </c>
      <c r="C305">
        <v>262</v>
      </c>
      <c r="D305">
        <f>COUNTIF(Replication!$B$2:$ML$100,C305)</f>
        <v>0</v>
      </c>
      <c r="E305" s="26">
        <f t="shared" si="16"/>
        <v>0</v>
      </c>
      <c r="F305" s="1">
        <f>VLOOKUP(C305,'Raw Data'!$A$1:$L$417,2,FALSE)</f>
        <v>9.6269990660610851</v>
      </c>
      <c r="G305" s="84">
        <f t="shared" si="19"/>
        <v>67.687293443338902</v>
      </c>
      <c r="H305" s="12">
        <f t="shared" si="18"/>
        <v>0</v>
      </c>
      <c r="I305">
        <f t="shared" si="17"/>
        <v>1</v>
      </c>
    </row>
    <row r="306" spans="2:9" x14ac:dyDescent="0.3">
      <c r="B306" s="12">
        <f>VLOOKUP(C306,'Raw Data'!$A$1:$I$417,9,FALSE)</f>
        <v>0</v>
      </c>
      <c r="C306">
        <v>290</v>
      </c>
      <c r="D306">
        <f>COUNTIF(Replication!$B$2:$ML$100,C306)</f>
        <v>0</v>
      </c>
      <c r="E306" s="26">
        <f t="shared" si="16"/>
        <v>0</v>
      </c>
      <c r="F306" s="1">
        <f>VLOOKUP(C306,'Raw Data'!$A$1:$L$417,2,FALSE)</f>
        <v>8.8008720509214928</v>
      </c>
      <c r="G306" s="84">
        <f t="shared" si="19"/>
        <v>67.687293443338902</v>
      </c>
      <c r="H306" s="12">
        <f t="shared" si="18"/>
        <v>0</v>
      </c>
      <c r="I306">
        <f t="shared" si="17"/>
        <v>1</v>
      </c>
    </row>
    <row r="307" spans="2:9" x14ac:dyDescent="0.3">
      <c r="B307" s="12">
        <f>VLOOKUP(C307,'Raw Data'!$A$1:$I$417,9,FALSE)</f>
        <v>0</v>
      </c>
      <c r="C307">
        <v>123</v>
      </c>
      <c r="D307">
        <f>COUNTIF(Replication!$B$2:$ML$100,C307)</f>
        <v>0</v>
      </c>
      <c r="E307" s="26">
        <f t="shared" si="16"/>
        <v>0</v>
      </c>
      <c r="F307" s="1">
        <f>VLOOKUP(C307,'Raw Data'!$A$1:$L$417,2,FALSE)</f>
        <v>9.1341854108012654</v>
      </c>
      <c r="G307" s="84">
        <f t="shared" si="19"/>
        <v>67.687293443338902</v>
      </c>
      <c r="H307" s="12">
        <f t="shared" si="18"/>
        <v>0</v>
      </c>
      <c r="I307">
        <f t="shared" si="17"/>
        <v>1</v>
      </c>
    </row>
    <row r="308" spans="2:9" x14ac:dyDescent="0.3">
      <c r="B308" s="12">
        <f>VLOOKUP(C308,'Raw Data'!$A$1:$I$417,9,FALSE)</f>
        <v>0</v>
      </c>
      <c r="C308">
        <v>210</v>
      </c>
      <c r="D308">
        <f>COUNTIF(Replication!$B$2:$ML$100,C308)</f>
        <v>0</v>
      </c>
      <c r="E308" s="26">
        <f t="shared" si="16"/>
        <v>0</v>
      </c>
      <c r="F308" s="1">
        <f>VLOOKUP(C308,'Raw Data'!$A$1:$L$417,2,FALSE)</f>
        <v>7.9621559060366964</v>
      </c>
      <c r="G308" s="84">
        <f t="shared" si="19"/>
        <v>67.687293443338902</v>
      </c>
      <c r="H308" s="12">
        <f t="shared" si="18"/>
        <v>0</v>
      </c>
      <c r="I308">
        <f t="shared" si="17"/>
        <v>1</v>
      </c>
    </row>
    <row r="309" spans="2:9" x14ac:dyDescent="0.3">
      <c r="B309" s="12">
        <f>VLOOKUP(C309,'Raw Data'!$A$1:$I$417,9,FALSE)</f>
        <v>1</v>
      </c>
      <c r="C309">
        <v>25</v>
      </c>
      <c r="D309">
        <f>COUNTIF(Replication!$B$2:$ML$100,C309)</f>
        <v>0</v>
      </c>
      <c r="E309" s="26">
        <f t="shared" si="16"/>
        <v>0</v>
      </c>
      <c r="F309" s="1">
        <f>VLOOKUP(C309,'Raw Data'!$A$1:$L$417,2,FALSE)</f>
        <v>5.8675915694035261</v>
      </c>
      <c r="G309" s="84">
        <f t="shared" si="19"/>
        <v>61.819701873935372</v>
      </c>
      <c r="H309" s="12">
        <f t="shared" si="18"/>
        <v>1</v>
      </c>
      <c r="I309">
        <f t="shared" si="17"/>
        <v>1</v>
      </c>
    </row>
    <row r="310" spans="2:9" x14ac:dyDescent="0.3">
      <c r="B310" s="12">
        <f>VLOOKUP(C310,'Raw Data'!$A$1:$I$417,9,FALSE)</f>
        <v>0</v>
      </c>
      <c r="C310">
        <v>384</v>
      </c>
      <c r="D310">
        <f>COUNTIF(Replication!$B$2:$ML$100,C310)</f>
        <v>0</v>
      </c>
      <c r="E310" s="26">
        <f t="shared" si="16"/>
        <v>0</v>
      </c>
      <c r="F310" s="1">
        <f>VLOOKUP(C310,'Raw Data'!$A$1:$L$417,2,FALSE)</f>
        <v>8.035151438118433</v>
      </c>
      <c r="G310" s="84">
        <f t="shared" si="19"/>
        <v>61.819701873935372</v>
      </c>
      <c r="H310" s="12">
        <f t="shared" si="18"/>
        <v>0</v>
      </c>
      <c r="I310">
        <f t="shared" si="17"/>
        <v>1</v>
      </c>
    </row>
    <row r="311" spans="2:9" x14ac:dyDescent="0.3">
      <c r="B311" s="12">
        <f>VLOOKUP(C311,'Raw Data'!$A$1:$I$417,9,FALSE)</f>
        <v>1</v>
      </c>
      <c r="C311">
        <v>417</v>
      </c>
      <c r="D311">
        <f>COUNTIF(Replication!$B$2:$ML$100,C311)</f>
        <v>0</v>
      </c>
      <c r="E311" s="26">
        <f t="shared" si="16"/>
        <v>0</v>
      </c>
      <c r="F311" s="1">
        <f>VLOOKUP(C311,'Raw Data'!$A$1:$L$417,2,FALSE)</f>
        <v>2.5451494406359032</v>
      </c>
      <c r="G311" s="84">
        <f t="shared" si="19"/>
        <v>59.274552433299469</v>
      </c>
      <c r="H311" s="12">
        <f t="shared" si="18"/>
        <v>1</v>
      </c>
      <c r="I311">
        <f t="shared" si="17"/>
        <v>1</v>
      </c>
    </row>
    <row r="312" spans="2:9" x14ac:dyDescent="0.3">
      <c r="B312" s="12">
        <f>VLOOKUP(C312,'Raw Data'!$A$1:$I$417,9,FALSE)</f>
        <v>1</v>
      </c>
      <c r="C312">
        <v>445</v>
      </c>
      <c r="D312">
        <f>COUNTIF(Replication!$B$2:$ML$100,C312)</f>
        <v>0</v>
      </c>
      <c r="E312" s="26">
        <f t="shared" si="16"/>
        <v>0</v>
      </c>
      <c r="F312" s="1">
        <f>VLOOKUP(C312,'Raw Data'!$A$1:$L$417,2,FALSE)</f>
        <v>1.3048074469911486</v>
      </c>
      <c r="G312" s="84">
        <f t="shared" si="19"/>
        <v>57.969744986308321</v>
      </c>
      <c r="H312" s="12">
        <f t="shared" si="18"/>
        <v>1</v>
      </c>
      <c r="I312">
        <f t="shared" si="17"/>
        <v>1</v>
      </c>
    </row>
    <row r="313" spans="2:9" x14ac:dyDescent="0.3">
      <c r="B313" s="12">
        <f>VLOOKUP(C313,'Raw Data'!$A$1:$I$417,9,FALSE)</f>
        <v>0</v>
      </c>
      <c r="C313">
        <v>887</v>
      </c>
      <c r="D313">
        <f>COUNTIF(Replication!$B$2:$ML$100,C313)</f>
        <v>0</v>
      </c>
      <c r="E313" s="26">
        <f t="shared" si="16"/>
        <v>0</v>
      </c>
      <c r="F313" s="1">
        <f>VLOOKUP(C313,'Raw Data'!$A$1:$L$417,2,FALSE)</f>
        <v>4.9686601118931186</v>
      </c>
      <c r="G313" s="84">
        <f t="shared" si="19"/>
        <v>57.969744986308321</v>
      </c>
      <c r="H313" s="12">
        <f t="shared" si="18"/>
        <v>0</v>
      </c>
      <c r="I313">
        <f t="shared" si="17"/>
        <v>1</v>
      </c>
    </row>
    <row r="314" spans="2:9" x14ac:dyDescent="0.3">
      <c r="B314" s="12">
        <f>VLOOKUP(C314,'Raw Data'!$A$1:$I$417,9,FALSE)</f>
        <v>0</v>
      </c>
      <c r="C314">
        <v>612</v>
      </c>
      <c r="D314">
        <f>COUNTIF(Replication!$B$2:$ML$100,C314)</f>
        <v>0</v>
      </c>
      <c r="E314" s="26">
        <f t="shared" si="16"/>
        <v>0</v>
      </c>
      <c r="F314" s="1">
        <f>VLOOKUP(C314,'Raw Data'!$A$1:$L$417,2,FALSE)</f>
        <v>2.9621946476247829</v>
      </c>
      <c r="G314" s="84">
        <f t="shared" si="19"/>
        <v>57.969744986308321</v>
      </c>
      <c r="H314" s="12">
        <f t="shared" si="18"/>
        <v>0</v>
      </c>
      <c r="I314">
        <f t="shared" si="17"/>
        <v>1</v>
      </c>
    </row>
    <row r="315" spans="2:9" x14ac:dyDescent="0.3">
      <c r="B315" s="12">
        <f>VLOOKUP(C315,'Raw Data'!$A$1:$I$417,9,FALSE)</f>
        <v>0</v>
      </c>
      <c r="C315">
        <v>766</v>
      </c>
      <c r="D315">
        <f>COUNTIF(Replication!$B$2:$ML$100,C315)</f>
        <v>0</v>
      </c>
      <c r="E315" s="26">
        <f t="shared" si="16"/>
        <v>0</v>
      </c>
      <c r="F315" s="1">
        <f>VLOOKUP(C315,'Raw Data'!$A$1:$L$417,2,FALSE)</f>
        <v>1.0911776982561749</v>
      </c>
      <c r="G315" s="84">
        <f t="shared" si="19"/>
        <v>57.969744986308321</v>
      </c>
      <c r="H315" s="12">
        <f t="shared" si="18"/>
        <v>0</v>
      </c>
      <c r="I315">
        <f t="shared" si="17"/>
        <v>1</v>
      </c>
    </row>
    <row r="316" spans="2:9" x14ac:dyDescent="0.3">
      <c r="B316" s="12">
        <f>VLOOKUP(C316,'Raw Data'!$A$1:$I$417,9,FALSE)</f>
        <v>0</v>
      </c>
      <c r="C316">
        <v>796</v>
      </c>
      <c r="D316">
        <f>COUNTIF(Replication!$B$2:$ML$100,C316)</f>
        <v>0</v>
      </c>
      <c r="E316" s="26">
        <f t="shared" si="16"/>
        <v>0</v>
      </c>
      <c r="F316" s="1">
        <f>VLOOKUP(C316,'Raw Data'!$A$1:$L$417,2,FALSE)</f>
        <v>1.8426413365189798</v>
      </c>
      <c r="G316" s="84">
        <f t="shared" si="19"/>
        <v>57.969744986308321</v>
      </c>
      <c r="H316" s="12">
        <f t="shared" si="18"/>
        <v>0</v>
      </c>
      <c r="I316">
        <f t="shared" si="17"/>
        <v>1</v>
      </c>
    </row>
    <row r="317" spans="2:9" x14ac:dyDescent="0.3">
      <c r="B317" s="12">
        <f>VLOOKUP(C317,'Raw Data'!$A$1:$I$417,9,FALSE)</f>
        <v>0</v>
      </c>
      <c r="C317">
        <v>1004</v>
      </c>
      <c r="D317">
        <f>COUNTIF(Replication!$B$2:$ML$100,C317)</f>
        <v>0</v>
      </c>
      <c r="E317" s="26">
        <f t="shared" si="16"/>
        <v>0</v>
      </c>
      <c r="F317" s="1">
        <f>VLOOKUP(C317,'Raw Data'!$A$1:$L$417,2,FALSE)</f>
        <v>1.6551848363266464</v>
      </c>
      <c r="G317" s="84">
        <f t="shared" si="19"/>
        <v>57.969744986308321</v>
      </c>
      <c r="H317" s="12">
        <f t="shared" si="18"/>
        <v>0</v>
      </c>
      <c r="I317">
        <f t="shared" si="17"/>
        <v>1</v>
      </c>
    </row>
    <row r="318" spans="2:9" x14ac:dyDescent="0.3">
      <c r="B318" s="12">
        <f>VLOOKUP(C318,'Raw Data'!$A$1:$I$417,9,FALSE)</f>
        <v>1</v>
      </c>
      <c r="C318">
        <v>343</v>
      </c>
      <c r="D318">
        <f>COUNTIF(Replication!$B$2:$ML$100,C318)</f>
        <v>0</v>
      </c>
      <c r="E318" s="26">
        <f t="shared" si="16"/>
        <v>0</v>
      </c>
      <c r="F318" s="1">
        <f>VLOOKUP(C318,'Raw Data'!$A$1:$L$417,2,FALSE)</f>
        <v>9.9498099592155818</v>
      </c>
      <c r="G318" s="84">
        <f t="shared" si="19"/>
        <v>48.019935027092743</v>
      </c>
      <c r="H318" s="12">
        <f t="shared" si="18"/>
        <v>1</v>
      </c>
      <c r="I318">
        <f t="shared" si="17"/>
        <v>1</v>
      </c>
    </row>
    <row r="319" spans="2:9" x14ac:dyDescent="0.3">
      <c r="B319" s="12">
        <f>VLOOKUP(C319,'Raw Data'!$A$1:$I$417,9,FALSE)</f>
        <v>0</v>
      </c>
      <c r="C319">
        <v>580</v>
      </c>
      <c r="D319">
        <f>COUNTIF(Replication!$B$2:$ML$100,C319)</f>
        <v>0</v>
      </c>
      <c r="E319" s="26">
        <f t="shared" si="16"/>
        <v>0</v>
      </c>
      <c r="F319" s="1">
        <f>VLOOKUP(C319,'Raw Data'!$A$1:$L$417,2,FALSE)</f>
        <v>8.860693682664639</v>
      </c>
      <c r="G319" s="84">
        <f t="shared" si="19"/>
        <v>48.019935027092743</v>
      </c>
      <c r="H319" s="12">
        <f t="shared" si="18"/>
        <v>0</v>
      </c>
      <c r="I319">
        <f t="shared" si="17"/>
        <v>1</v>
      </c>
    </row>
    <row r="320" spans="2:9" x14ac:dyDescent="0.3">
      <c r="B320" s="12">
        <f>VLOOKUP(C320,'Raw Data'!$A$1:$I$417,9,FALSE)</f>
        <v>0</v>
      </c>
      <c r="C320">
        <v>770</v>
      </c>
      <c r="D320">
        <f>COUNTIF(Replication!$B$2:$ML$100,C320)</f>
        <v>0</v>
      </c>
      <c r="E320" s="26">
        <f t="shared" si="16"/>
        <v>0</v>
      </c>
      <c r="F320" s="1">
        <f>VLOOKUP(C320,'Raw Data'!$A$1:$L$417,2,FALSE)</f>
        <v>8.3897178910121344</v>
      </c>
      <c r="G320" s="84">
        <f t="shared" si="19"/>
        <v>48.019935027092743</v>
      </c>
      <c r="H320" s="12">
        <f t="shared" si="18"/>
        <v>0</v>
      </c>
      <c r="I320">
        <f t="shared" si="17"/>
        <v>1</v>
      </c>
    </row>
    <row r="321" spans="2:9" x14ac:dyDescent="0.3">
      <c r="B321" s="12">
        <f>VLOOKUP(C321,'Raw Data'!$A$1:$I$417,9,FALSE)</f>
        <v>0</v>
      </c>
      <c r="C321">
        <v>457</v>
      </c>
      <c r="D321">
        <f>COUNTIF(Replication!$B$2:$ML$100,C321)</f>
        <v>0</v>
      </c>
      <c r="E321" s="26">
        <f t="shared" si="16"/>
        <v>0</v>
      </c>
      <c r="F321" s="1">
        <f>VLOOKUP(C321,'Raw Data'!$A$1:$L$417,2,FALSE)</f>
        <v>9.7411291855280542</v>
      </c>
      <c r="G321" s="84">
        <f t="shared" si="19"/>
        <v>48.019935027092743</v>
      </c>
      <c r="H321" s="12">
        <f t="shared" si="18"/>
        <v>0</v>
      </c>
      <c r="I321">
        <f t="shared" si="17"/>
        <v>1</v>
      </c>
    </row>
    <row r="322" spans="2:9" x14ac:dyDescent="0.3">
      <c r="B322" s="12">
        <f>VLOOKUP(C322,'Raw Data'!$A$1:$I$417,9,FALSE)</f>
        <v>0</v>
      </c>
      <c r="C322">
        <v>1109</v>
      </c>
      <c r="D322">
        <f>COUNTIF(Replication!$B$2:$ML$100,C322)</f>
        <v>0</v>
      </c>
      <c r="E322" s="26">
        <f t="shared" ref="E322:E385" si="20">D322/50</f>
        <v>0</v>
      </c>
      <c r="F322" s="1">
        <f>VLOOKUP(C322,'Raw Data'!$A$1:$L$417,2,FALSE)</f>
        <v>7.3420481814718386</v>
      </c>
      <c r="G322" s="84">
        <f t="shared" si="19"/>
        <v>48.019935027092743</v>
      </c>
      <c r="H322" s="12">
        <f t="shared" si="18"/>
        <v>0</v>
      </c>
      <c r="I322">
        <f t="shared" ref="I322:I385" si="21">IF(H322=B322,1,0)</f>
        <v>1</v>
      </c>
    </row>
    <row r="323" spans="2:9" x14ac:dyDescent="0.3">
      <c r="B323" s="12">
        <f>VLOOKUP(C323,'Raw Data'!$A$1:$I$417,9,FALSE)</f>
        <v>1</v>
      </c>
      <c r="C323">
        <v>853</v>
      </c>
      <c r="D323">
        <f>COUNTIF(Replication!$B$2:$ML$100,C323)</f>
        <v>0</v>
      </c>
      <c r="E323" s="26">
        <f t="shared" si="20"/>
        <v>0</v>
      </c>
      <c r="F323" s="1">
        <f>VLOOKUP(C323,'Raw Data'!$A$1:$L$417,2,FALSE)</f>
        <v>7.0539311336542854</v>
      </c>
      <c r="G323" s="84">
        <f t="shared" si="19"/>
        <v>40.966003893438454</v>
      </c>
      <c r="H323" s="12">
        <f t="shared" ref="H323:H386" si="22">IF(G323&gt;0,IF(B323&gt;0,1,0),0)</f>
        <v>1</v>
      </c>
      <c r="I323">
        <f t="shared" si="21"/>
        <v>1</v>
      </c>
    </row>
    <row r="324" spans="2:9" x14ac:dyDescent="0.3">
      <c r="B324" s="12">
        <f>VLOOKUP(C324,'Raw Data'!$A$1:$I$417,9,FALSE)</f>
        <v>1</v>
      </c>
      <c r="C324">
        <v>252</v>
      </c>
      <c r="D324">
        <f>COUNTIF(Replication!$B$2:$ML$100,C324)</f>
        <v>0</v>
      </c>
      <c r="E324" s="26">
        <f t="shared" si="20"/>
        <v>0</v>
      </c>
      <c r="F324" s="1">
        <f>VLOOKUP(C324,'Raw Data'!$A$1:$L$417,2,FALSE)</f>
        <v>2.3721224458470425</v>
      </c>
      <c r="G324" s="84">
        <f t="shared" ref="G324:G387" si="23">IF(B324&gt;0,G323-F324,G323)</f>
        <v>38.593881447591414</v>
      </c>
      <c r="H324" s="12">
        <f t="shared" si="22"/>
        <v>1</v>
      </c>
      <c r="I324">
        <f t="shared" si="21"/>
        <v>1</v>
      </c>
    </row>
    <row r="325" spans="2:9" x14ac:dyDescent="0.3">
      <c r="B325" s="12">
        <f>VLOOKUP(C325,'Raw Data'!$A$1:$I$417,9,FALSE)</f>
        <v>0</v>
      </c>
      <c r="C325">
        <v>742</v>
      </c>
      <c r="D325">
        <f>COUNTIF(Replication!$B$2:$ML$100,C325)</f>
        <v>0</v>
      </c>
      <c r="E325" s="26">
        <f t="shared" si="20"/>
        <v>0</v>
      </c>
      <c r="F325" s="1">
        <f>VLOOKUP(C325,'Raw Data'!$A$1:$L$417,2,FALSE)</f>
        <v>2.1823003598291999</v>
      </c>
      <c r="G325" s="84">
        <f t="shared" si="23"/>
        <v>38.593881447591414</v>
      </c>
      <c r="H325" s="12">
        <f t="shared" si="22"/>
        <v>0</v>
      </c>
      <c r="I325">
        <f t="shared" si="21"/>
        <v>1</v>
      </c>
    </row>
    <row r="326" spans="2:9" x14ac:dyDescent="0.3">
      <c r="B326" s="12">
        <f>VLOOKUP(C326,'Raw Data'!$A$1:$I$417,9,FALSE)</f>
        <v>0</v>
      </c>
      <c r="C326">
        <v>478</v>
      </c>
      <c r="D326">
        <f>COUNTIF(Replication!$B$2:$ML$100,C326)</f>
        <v>0</v>
      </c>
      <c r="E326" s="26">
        <f t="shared" si="20"/>
        <v>0</v>
      </c>
      <c r="F326" s="1">
        <f>VLOOKUP(C326,'Raw Data'!$A$1:$L$417,2,FALSE)</f>
        <v>2.4935478014950609</v>
      </c>
      <c r="G326" s="84">
        <f t="shared" si="23"/>
        <v>38.593881447591414</v>
      </c>
      <c r="H326" s="12">
        <f t="shared" si="22"/>
        <v>0</v>
      </c>
      <c r="I326">
        <f t="shared" si="21"/>
        <v>1</v>
      </c>
    </row>
    <row r="327" spans="2:9" x14ac:dyDescent="0.3">
      <c r="B327" s="12">
        <f>VLOOKUP(C327,'Raw Data'!$A$1:$I$417,9,FALSE)</f>
        <v>0</v>
      </c>
      <c r="C327">
        <v>1047</v>
      </c>
      <c r="D327">
        <f>COUNTIF(Replication!$B$2:$ML$100,C327)</f>
        <v>0</v>
      </c>
      <c r="E327" s="26">
        <f t="shared" si="20"/>
        <v>0</v>
      </c>
      <c r="F327" s="1">
        <f>VLOOKUP(C327,'Raw Data'!$A$1:$L$417,2,FALSE)</f>
        <v>9.4827929947116747</v>
      </c>
      <c r="G327" s="84">
        <f t="shared" si="23"/>
        <v>38.593881447591414</v>
      </c>
      <c r="H327" s="12">
        <f t="shared" si="22"/>
        <v>0</v>
      </c>
      <c r="I327">
        <f t="shared" si="21"/>
        <v>1</v>
      </c>
    </row>
    <row r="328" spans="2:9" x14ac:dyDescent="0.3">
      <c r="B328" s="12">
        <f>VLOOKUP(C328,'Raw Data'!$A$1:$I$417,9,FALSE)</f>
        <v>0</v>
      </c>
      <c r="C328">
        <v>908</v>
      </c>
      <c r="D328">
        <f>COUNTIF(Replication!$B$2:$ML$100,C328)</f>
        <v>0</v>
      </c>
      <c r="E328" s="26">
        <f t="shared" si="20"/>
        <v>0</v>
      </c>
      <c r="F328" s="1">
        <f>VLOOKUP(C328,'Raw Data'!$A$1:$L$417,2,FALSE)</f>
        <v>9.7899024251970967</v>
      </c>
      <c r="G328" s="84">
        <f t="shared" si="23"/>
        <v>38.593881447591414</v>
      </c>
      <c r="H328" s="12">
        <f t="shared" si="22"/>
        <v>0</v>
      </c>
      <c r="I328">
        <f t="shared" si="21"/>
        <v>1</v>
      </c>
    </row>
    <row r="329" spans="2:9" x14ac:dyDescent="0.3">
      <c r="B329" s="12">
        <f>VLOOKUP(C329,'Raw Data'!$A$1:$I$417,9,FALSE)</f>
        <v>0</v>
      </c>
      <c r="C329">
        <v>61</v>
      </c>
      <c r="D329">
        <f>COUNTIF(Replication!$B$2:$ML$100,C329)</f>
        <v>0</v>
      </c>
      <c r="E329" s="26">
        <f t="shared" si="20"/>
        <v>0</v>
      </c>
      <c r="F329" s="1">
        <f>VLOOKUP(C329,'Raw Data'!$A$1:$L$417,2,FALSE)</f>
        <v>7.7609436941717203</v>
      </c>
      <c r="G329" s="84">
        <f t="shared" si="23"/>
        <v>38.593881447591414</v>
      </c>
      <c r="H329" s="12">
        <f t="shared" si="22"/>
        <v>0</v>
      </c>
      <c r="I329">
        <f t="shared" si="21"/>
        <v>1</v>
      </c>
    </row>
    <row r="330" spans="2:9" x14ac:dyDescent="0.3">
      <c r="B330" s="12">
        <f>VLOOKUP(C330,'Raw Data'!$A$1:$I$417,9,FALSE)</f>
        <v>0</v>
      </c>
      <c r="C330">
        <v>171</v>
      </c>
      <c r="D330">
        <f>COUNTIF(Replication!$B$2:$ML$100,C330)</f>
        <v>0</v>
      </c>
      <c r="E330" s="26">
        <f t="shared" si="20"/>
        <v>0</v>
      </c>
      <c r="F330" s="1">
        <f>VLOOKUP(C330,'Raw Data'!$A$1:$L$417,2,FALSE)</f>
        <v>9.703695819620302</v>
      </c>
      <c r="G330" s="84">
        <f t="shared" si="23"/>
        <v>38.593881447591414</v>
      </c>
      <c r="H330" s="12">
        <f t="shared" si="22"/>
        <v>0</v>
      </c>
      <c r="I330">
        <f t="shared" si="21"/>
        <v>1</v>
      </c>
    </row>
    <row r="331" spans="2:9" x14ac:dyDescent="0.3">
      <c r="B331" s="12">
        <f>VLOOKUP(C331,'Raw Data'!$A$1:$I$417,9,FALSE)</f>
        <v>0</v>
      </c>
      <c r="C331">
        <v>39</v>
      </c>
      <c r="D331">
        <f>COUNTIF(Replication!$B$2:$ML$100,C331)</f>
        <v>0</v>
      </c>
      <c r="E331" s="26">
        <f t="shared" si="20"/>
        <v>0</v>
      </c>
      <c r="F331" s="1">
        <f>VLOOKUP(C331,'Raw Data'!$A$1:$L$417,2,FALSE)</f>
        <v>9.3614014153288299</v>
      </c>
      <c r="G331" s="84">
        <f t="shared" si="23"/>
        <v>38.593881447591414</v>
      </c>
      <c r="H331" s="12">
        <f t="shared" si="22"/>
        <v>0</v>
      </c>
      <c r="I331">
        <f t="shared" si="21"/>
        <v>1</v>
      </c>
    </row>
    <row r="332" spans="2:9" x14ac:dyDescent="0.3">
      <c r="B332" s="12">
        <f>VLOOKUP(C332,'Raw Data'!$A$1:$I$417,9,FALSE)</f>
        <v>0</v>
      </c>
      <c r="C332">
        <v>1046</v>
      </c>
      <c r="D332">
        <f>COUNTIF(Replication!$B$2:$ML$100,C332)</f>
        <v>0</v>
      </c>
      <c r="E332" s="26">
        <f t="shared" si="20"/>
        <v>0</v>
      </c>
      <c r="F332" s="1">
        <f>VLOOKUP(C332,'Raw Data'!$A$1:$L$417,2,FALSE)</f>
        <v>9.1551259569421255</v>
      </c>
      <c r="G332" s="84">
        <f t="shared" si="23"/>
        <v>38.593881447591414</v>
      </c>
      <c r="H332" s="12">
        <f t="shared" si="22"/>
        <v>0</v>
      </c>
      <c r="I332">
        <f t="shared" si="21"/>
        <v>1</v>
      </c>
    </row>
    <row r="333" spans="2:9" x14ac:dyDescent="0.3">
      <c r="B333" s="12">
        <f>VLOOKUP(C333,'Raw Data'!$A$1:$I$417,9,FALSE)</f>
        <v>0</v>
      </c>
      <c r="C333">
        <v>768</v>
      </c>
      <c r="D333">
        <f>COUNTIF(Replication!$B$2:$ML$100,C333)</f>
        <v>0</v>
      </c>
      <c r="E333" s="26">
        <f t="shared" si="20"/>
        <v>0</v>
      </c>
      <c r="F333" s="1">
        <f>VLOOKUP(C333,'Raw Data'!$A$1:$L$417,2,FALSE)</f>
        <v>5.2032934259225296</v>
      </c>
      <c r="G333" s="84">
        <f t="shared" si="23"/>
        <v>38.593881447591414</v>
      </c>
      <c r="H333" s="12">
        <f t="shared" si="22"/>
        <v>0</v>
      </c>
      <c r="I333">
        <f t="shared" si="21"/>
        <v>1</v>
      </c>
    </row>
    <row r="334" spans="2:9" x14ac:dyDescent="0.3">
      <c r="B334" s="12">
        <f>VLOOKUP(C334,'Raw Data'!$A$1:$I$417,9,FALSE)</f>
        <v>0</v>
      </c>
      <c r="C334">
        <v>363</v>
      </c>
      <c r="D334">
        <f>COUNTIF(Replication!$B$2:$ML$100,C334)</f>
        <v>0</v>
      </c>
      <c r="E334" s="26">
        <f t="shared" si="20"/>
        <v>0</v>
      </c>
      <c r="F334" s="1">
        <f>VLOOKUP(C334,'Raw Data'!$A$1:$L$417,2,FALSE)</f>
        <v>5.7235684506015163</v>
      </c>
      <c r="G334" s="84">
        <f t="shared" si="23"/>
        <v>38.593881447591414</v>
      </c>
      <c r="H334" s="12">
        <f t="shared" si="22"/>
        <v>0</v>
      </c>
      <c r="I334">
        <f t="shared" si="21"/>
        <v>1</v>
      </c>
    </row>
    <row r="335" spans="2:9" x14ac:dyDescent="0.3">
      <c r="B335" s="12">
        <f>VLOOKUP(C335,'Raw Data'!$A$1:$I$417,9,FALSE)</f>
        <v>1</v>
      </c>
      <c r="C335">
        <v>906</v>
      </c>
      <c r="D335">
        <f>COUNTIF(Replication!$B$2:$ML$100,C335)</f>
        <v>0</v>
      </c>
      <c r="E335" s="26">
        <f t="shared" si="20"/>
        <v>0</v>
      </c>
      <c r="F335" s="1">
        <f>VLOOKUP(C335,'Raw Data'!$A$1:$L$417,2,FALSE)</f>
        <v>5.999727549320907</v>
      </c>
      <c r="G335" s="84">
        <f t="shared" si="23"/>
        <v>32.594153898270505</v>
      </c>
      <c r="H335" s="12">
        <f t="shared" si="22"/>
        <v>1</v>
      </c>
      <c r="I335">
        <f t="shared" si="21"/>
        <v>1</v>
      </c>
    </row>
    <row r="336" spans="2:9" x14ac:dyDescent="0.3">
      <c r="B336" s="12">
        <f>VLOOKUP(C336,'Raw Data'!$A$1:$I$417,9,FALSE)</f>
        <v>0</v>
      </c>
      <c r="C336">
        <v>623</v>
      </c>
      <c r="D336">
        <f>COUNTIF(Replication!$B$2:$ML$100,C336)</f>
        <v>0</v>
      </c>
      <c r="E336" s="26">
        <f t="shared" si="20"/>
        <v>0</v>
      </c>
      <c r="F336" s="1">
        <f>VLOOKUP(C336,'Raw Data'!$A$1:$L$417,2,FALSE)</f>
        <v>3.1004017666829631</v>
      </c>
      <c r="G336" s="84">
        <f t="shared" si="23"/>
        <v>32.594153898270505</v>
      </c>
      <c r="H336" s="12">
        <f t="shared" si="22"/>
        <v>0</v>
      </c>
      <c r="I336">
        <f t="shared" si="21"/>
        <v>1</v>
      </c>
    </row>
    <row r="337" spans="2:9" x14ac:dyDescent="0.3">
      <c r="B337" s="12">
        <f>VLOOKUP(C337,'Raw Data'!$A$1:$I$417,9,FALSE)</f>
        <v>0</v>
      </c>
      <c r="C337">
        <v>256</v>
      </c>
      <c r="D337">
        <f>COUNTIF(Replication!$B$2:$ML$100,C337)</f>
        <v>0</v>
      </c>
      <c r="E337" s="26">
        <f t="shared" si="20"/>
        <v>0</v>
      </c>
      <c r="F337" s="1">
        <f>VLOOKUP(C337,'Raw Data'!$A$1:$L$417,2,FALSE)</f>
        <v>2.7177912891118061</v>
      </c>
      <c r="G337" s="84">
        <f t="shared" si="23"/>
        <v>32.594153898270505</v>
      </c>
      <c r="H337" s="12">
        <f t="shared" si="22"/>
        <v>0</v>
      </c>
      <c r="I337">
        <f t="shared" si="21"/>
        <v>1</v>
      </c>
    </row>
    <row r="338" spans="2:9" x14ac:dyDescent="0.3">
      <c r="B338" s="12">
        <f>VLOOKUP(C338,'Raw Data'!$A$1:$I$417,9,FALSE)</f>
        <v>1</v>
      </c>
      <c r="C338">
        <v>844</v>
      </c>
      <c r="D338">
        <f>COUNTIF(Replication!$B$2:$ML$100,C338)</f>
        <v>0</v>
      </c>
      <c r="E338" s="26">
        <f t="shared" si="20"/>
        <v>0</v>
      </c>
      <c r="F338" s="1">
        <f>VLOOKUP(C338,'Raw Data'!$A$1:$L$417,2,FALSE)</f>
        <v>9.6367160636279543</v>
      </c>
      <c r="G338" s="84">
        <f t="shared" si="23"/>
        <v>22.957437834642551</v>
      </c>
      <c r="H338" s="12">
        <f t="shared" si="22"/>
        <v>1</v>
      </c>
      <c r="I338">
        <f t="shared" si="21"/>
        <v>1</v>
      </c>
    </row>
    <row r="339" spans="2:9" x14ac:dyDescent="0.3">
      <c r="B339" s="12">
        <f>VLOOKUP(C339,'Raw Data'!$A$1:$I$417,9,FALSE)</f>
        <v>0</v>
      </c>
      <c r="C339">
        <v>525</v>
      </c>
      <c r="D339">
        <f>COUNTIF(Replication!$B$2:$ML$100,C339)</f>
        <v>0</v>
      </c>
      <c r="E339" s="26">
        <f t="shared" si="20"/>
        <v>0</v>
      </c>
      <c r="F339" s="1">
        <f>VLOOKUP(C339,'Raw Data'!$A$1:$L$417,2,FALSE)</f>
        <v>9.5236409817562873</v>
      </c>
      <c r="G339" s="84">
        <f t="shared" si="23"/>
        <v>22.957437834642551</v>
      </c>
      <c r="H339" s="12">
        <f t="shared" si="22"/>
        <v>0</v>
      </c>
      <c r="I339">
        <f t="shared" si="21"/>
        <v>1</v>
      </c>
    </row>
    <row r="340" spans="2:9" x14ac:dyDescent="0.3">
      <c r="B340" s="12">
        <f>VLOOKUP(C340,'Raw Data'!$A$1:$I$417,9,FALSE)</f>
        <v>0</v>
      </c>
      <c r="C340">
        <v>749</v>
      </c>
      <c r="D340">
        <f>COUNTIF(Replication!$B$2:$ML$100,C340)</f>
        <v>0</v>
      </c>
      <c r="E340" s="26">
        <f t="shared" si="20"/>
        <v>0</v>
      </c>
      <c r="F340" s="1">
        <f>VLOOKUP(C340,'Raw Data'!$A$1:$L$417,2,FALSE)</f>
        <v>9.2350666078819597</v>
      </c>
      <c r="G340" s="84">
        <f t="shared" si="23"/>
        <v>22.957437834642551</v>
      </c>
      <c r="H340" s="12">
        <f t="shared" si="22"/>
        <v>0</v>
      </c>
      <c r="I340">
        <f t="shared" si="21"/>
        <v>1</v>
      </c>
    </row>
    <row r="341" spans="2:9" x14ac:dyDescent="0.3">
      <c r="B341" s="12">
        <f>VLOOKUP(C341,'Raw Data'!$A$1:$I$417,9,FALSE)</f>
        <v>0</v>
      </c>
      <c r="C341">
        <v>1014</v>
      </c>
      <c r="D341">
        <f>COUNTIF(Replication!$B$2:$ML$100,C341)</f>
        <v>0</v>
      </c>
      <c r="E341" s="26">
        <f t="shared" si="20"/>
        <v>0</v>
      </c>
      <c r="F341" s="1">
        <f>VLOOKUP(C341,'Raw Data'!$A$1:$L$417,2,FALSE)</f>
        <v>9.0506776562361004</v>
      </c>
      <c r="G341" s="84">
        <f t="shared" si="23"/>
        <v>22.957437834642551</v>
      </c>
      <c r="H341" s="12">
        <f t="shared" si="22"/>
        <v>0</v>
      </c>
      <c r="I341">
        <f t="shared" si="21"/>
        <v>1</v>
      </c>
    </row>
    <row r="342" spans="2:9" x14ac:dyDescent="0.3">
      <c r="B342" s="12">
        <f>VLOOKUP(C342,'Raw Data'!$A$1:$I$417,9,FALSE)</f>
        <v>0</v>
      </c>
      <c r="C342">
        <v>843</v>
      </c>
      <c r="D342">
        <f>COUNTIF(Replication!$B$2:$ML$100,C342)</f>
        <v>0</v>
      </c>
      <c r="E342" s="26">
        <f t="shared" si="20"/>
        <v>0</v>
      </c>
      <c r="F342" s="1">
        <f>VLOOKUP(C342,'Raw Data'!$A$1:$L$417,2,FALSE)</f>
        <v>9.9480693686482233</v>
      </c>
      <c r="G342" s="84">
        <f t="shared" si="23"/>
        <v>22.957437834642551</v>
      </c>
      <c r="H342" s="12">
        <f t="shared" si="22"/>
        <v>0</v>
      </c>
      <c r="I342">
        <f t="shared" si="21"/>
        <v>1</v>
      </c>
    </row>
    <row r="343" spans="2:9" x14ac:dyDescent="0.3">
      <c r="B343" s="12">
        <f>VLOOKUP(C343,'Raw Data'!$A$1:$I$417,9,FALSE)</f>
        <v>0</v>
      </c>
      <c r="C343">
        <v>134</v>
      </c>
      <c r="D343">
        <f>COUNTIF(Replication!$B$2:$ML$100,C343)</f>
        <v>0</v>
      </c>
      <c r="E343" s="26">
        <f t="shared" si="20"/>
        <v>0</v>
      </c>
      <c r="F343" s="1">
        <f>VLOOKUP(C343,'Raw Data'!$A$1:$L$417,2,FALSE)</f>
        <v>6.9975812264727395</v>
      </c>
      <c r="G343" s="84">
        <f t="shared" si="23"/>
        <v>22.957437834642551</v>
      </c>
      <c r="H343" s="12">
        <f t="shared" si="22"/>
        <v>0</v>
      </c>
      <c r="I343">
        <f t="shared" si="21"/>
        <v>1</v>
      </c>
    </row>
    <row r="344" spans="2:9" x14ac:dyDescent="0.3">
      <c r="B344" s="12">
        <f>VLOOKUP(C344,'Raw Data'!$A$1:$I$417,9,FALSE)</f>
        <v>0</v>
      </c>
      <c r="C344">
        <v>697</v>
      </c>
      <c r="D344">
        <f>COUNTIF(Replication!$B$2:$ML$100,C344)</f>
        <v>0</v>
      </c>
      <c r="E344" s="26">
        <f t="shared" si="20"/>
        <v>0</v>
      </c>
      <c r="F344" s="1">
        <f>VLOOKUP(C344,'Raw Data'!$A$1:$L$417,2,FALSE)</f>
        <v>9.5989039155543345</v>
      </c>
      <c r="G344" s="84">
        <f t="shared" si="23"/>
        <v>22.957437834642551</v>
      </c>
      <c r="H344" s="12">
        <f t="shared" si="22"/>
        <v>0</v>
      </c>
      <c r="I344">
        <f t="shared" si="21"/>
        <v>1</v>
      </c>
    </row>
    <row r="345" spans="2:9" x14ac:dyDescent="0.3">
      <c r="B345" s="12">
        <f>VLOOKUP(C345,'Raw Data'!$A$1:$I$417,9,FALSE)</f>
        <v>0</v>
      </c>
      <c r="C345">
        <v>185</v>
      </c>
      <c r="D345">
        <f>COUNTIF(Replication!$B$2:$ML$100,C345)</f>
        <v>0</v>
      </c>
      <c r="E345" s="26">
        <f t="shared" si="20"/>
        <v>0</v>
      </c>
      <c r="F345" s="1">
        <f>VLOOKUP(C345,'Raw Data'!$A$1:$L$417,2,FALSE)</f>
        <v>6.2493587123033674</v>
      </c>
      <c r="G345" s="84">
        <f t="shared" si="23"/>
        <v>22.957437834642551</v>
      </c>
      <c r="H345" s="12">
        <f t="shared" si="22"/>
        <v>0</v>
      </c>
      <c r="I345">
        <f t="shared" si="21"/>
        <v>1</v>
      </c>
    </row>
    <row r="346" spans="2:9" x14ac:dyDescent="0.3">
      <c r="B346" s="12">
        <f>VLOOKUP(C346,'Raw Data'!$A$1:$I$417,9,FALSE)</f>
        <v>0</v>
      </c>
      <c r="C346">
        <v>175</v>
      </c>
      <c r="D346">
        <f>COUNTIF(Replication!$B$2:$ML$100,C346)</f>
        <v>0</v>
      </c>
      <c r="E346" s="26">
        <f t="shared" si="20"/>
        <v>0</v>
      </c>
      <c r="F346" s="1">
        <f>VLOOKUP(C346,'Raw Data'!$A$1:$L$417,2,FALSE)</f>
        <v>6.0934208127887102</v>
      </c>
      <c r="G346" s="84">
        <f t="shared" si="23"/>
        <v>22.957437834642551</v>
      </c>
      <c r="H346" s="12">
        <f t="shared" si="22"/>
        <v>0</v>
      </c>
      <c r="I346">
        <f t="shared" si="21"/>
        <v>1</v>
      </c>
    </row>
    <row r="347" spans="2:9" x14ac:dyDescent="0.3">
      <c r="B347" s="12">
        <f>VLOOKUP(C347,'Raw Data'!$A$1:$I$417,9,FALSE)</f>
        <v>0</v>
      </c>
      <c r="C347">
        <v>258</v>
      </c>
      <c r="D347">
        <f>COUNTIF(Replication!$B$2:$ML$100,C347)</f>
        <v>0</v>
      </c>
      <c r="E347" s="26">
        <f t="shared" si="20"/>
        <v>0</v>
      </c>
      <c r="F347" s="1">
        <f>VLOOKUP(C347,'Raw Data'!$A$1:$L$417,2,FALSE)</f>
        <v>0.90698840741772369</v>
      </c>
      <c r="G347" s="84">
        <f t="shared" si="23"/>
        <v>22.957437834642551</v>
      </c>
      <c r="H347" s="12">
        <f t="shared" si="22"/>
        <v>0</v>
      </c>
      <c r="I347">
        <f t="shared" si="21"/>
        <v>1</v>
      </c>
    </row>
    <row r="348" spans="2:9" x14ac:dyDescent="0.3">
      <c r="B348" s="12">
        <f>VLOOKUP(C348,'Raw Data'!$A$1:$I$417,9,FALSE)</f>
        <v>0</v>
      </c>
      <c r="C348">
        <v>672</v>
      </c>
      <c r="D348">
        <f>COUNTIF(Replication!$B$2:$ML$100,C348)</f>
        <v>0</v>
      </c>
      <c r="E348" s="26">
        <f t="shared" si="20"/>
        <v>0</v>
      </c>
      <c r="F348" s="1">
        <f>VLOOKUP(C348,'Raw Data'!$A$1:$L$417,2,FALSE)</f>
        <v>2.8647528313665784</v>
      </c>
      <c r="G348" s="84">
        <f t="shared" si="23"/>
        <v>22.957437834642551</v>
      </c>
      <c r="H348" s="12">
        <f t="shared" si="22"/>
        <v>0</v>
      </c>
      <c r="I348">
        <f t="shared" si="21"/>
        <v>1</v>
      </c>
    </row>
    <row r="349" spans="2:9" x14ac:dyDescent="0.3">
      <c r="B349" s="12">
        <f>VLOOKUP(C349,'Raw Data'!$A$1:$I$417,9,FALSE)</f>
        <v>0</v>
      </c>
      <c r="C349">
        <v>660</v>
      </c>
      <c r="D349">
        <f>COUNTIF(Replication!$B$2:$ML$100,C349)</f>
        <v>0</v>
      </c>
      <c r="E349" s="26">
        <f t="shared" si="20"/>
        <v>0</v>
      </c>
      <c r="F349" s="1">
        <f>VLOOKUP(C349,'Raw Data'!$A$1:$L$417,2,FALSE)</f>
        <v>3.8837953812258821</v>
      </c>
      <c r="G349" s="84">
        <f t="shared" si="23"/>
        <v>22.957437834642551</v>
      </c>
      <c r="H349" s="12">
        <f t="shared" si="22"/>
        <v>0</v>
      </c>
      <c r="I349">
        <f t="shared" si="21"/>
        <v>1</v>
      </c>
    </row>
    <row r="350" spans="2:9" x14ac:dyDescent="0.3">
      <c r="B350" s="12">
        <f>VLOOKUP(C350,'Raw Data'!$A$1:$I$417,9,FALSE)</f>
        <v>0</v>
      </c>
      <c r="C350">
        <v>344</v>
      </c>
      <c r="D350">
        <f>COUNTIF(Replication!$B$2:$ML$100,C350)</f>
        <v>0</v>
      </c>
      <c r="E350" s="26">
        <f t="shared" si="20"/>
        <v>0</v>
      </c>
      <c r="F350" s="1">
        <f>VLOOKUP(C350,'Raw Data'!$A$1:$L$417,2,FALSE)</f>
        <v>1.4409555797462914</v>
      </c>
      <c r="G350" s="84">
        <f t="shared" si="23"/>
        <v>22.957437834642551</v>
      </c>
      <c r="H350" s="12">
        <f t="shared" si="22"/>
        <v>0</v>
      </c>
      <c r="I350">
        <f t="shared" si="21"/>
        <v>1</v>
      </c>
    </row>
    <row r="351" spans="2:9" x14ac:dyDescent="0.3">
      <c r="B351" s="12">
        <f>VLOOKUP(C351,'Raw Data'!$A$1:$I$417,9,FALSE)</f>
        <v>0</v>
      </c>
      <c r="C351">
        <v>1030</v>
      </c>
      <c r="D351">
        <f>COUNTIF(Replication!$B$2:$ML$100,C351)</f>
        <v>0</v>
      </c>
      <c r="E351" s="26">
        <f t="shared" si="20"/>
        <v>0</v>
      </c>
      <c r="F351" s="1">
        <f>VLOOKUP(C351,'Raw Data'!$A$1:$L$417,2,FALSE)</f>
        <v>2.4744148419726821</v>
      </c>
      <c r="G351" s="84">
        <f t="shared" si="23"/>
        <v>22.957437834642551</v>
      </c>
      <c r="H351" s="12">
        <f t="shared" si="22"/>
        <v>0</v>
      </c>
      <c r="I351">
        <f t="shared" si="21"/>
        <v>1</v>
      </c>
    </row>
    <row r="352" spans="2:9" x14ac:dyDescent="0.3">
      <c r="B352" s="12">
        <f>VLOOKUP(C352,'Raw Data'!$A$1:$I$417,9,FALSE)</f>
        <v>1</v>
      </c>
      <c r="C352">
        <v>341</v>
      </c>
      <c r="D352">
        <f>COUNTIF(Replication!$B$2:$ML$100,C352)</f>
        <v>0</v>
      </c>
      <c r="E352" s="26">
        <f t="shared" si="20"/>
        <v>0</v>
      </c>
      <c r="F352" s="1">
        <f>VLOOKUP(C352,'Raw Data'!$A$1:$L$417,2,FALSE)</f>
        <v>9.2937775533492317</v>
      </c>
      <c r="G352" s="84">
        <f t="shared" si="23"/>
        <v>13.663660281293319</v>
      </c>
      <c r="H352" s="12">
        <f t="shared" si="22"/>
        <v>1</v>
      </c>
      <c r="I352">
        <f t="shared" si="21"/>
        <v>1</v>
      </c>
    </row>
    <row r="353" spans="2:9" x14ac:dyDescent="0.3">
      <c r="B353" s="12">
        <f>VLOOKUP(C353,'Raw Data'!$A$1:$I$417,9,FALSE)</f>
        <v>0</v>
      </c>
      <c r="C353">
        <v>328</v>
      </c>
      <c r="D353">
        <f>COUNTIF(Replication!$B$2:$ML$100,C353)</f>
        <v>0</v>
      </c>
      <c r="E353" s="26">
        <f t="shared" si="20"/>
        <v>0</v>
      </c>
      <c r="F353" s="1">
        <f>VLOOKUP(C353,'Raw Data'!$A$1:$L$417,2,FALSE)</f>
        <v>9.6967657857914666</v>
      </c>
      <c r="G353" s="84">
        <f t="shared" si="23"/>
        <v>13.663660281293319</v>
      </c>
      <c r="H353" s="12">
        <f t="shared" si="22"/>
        <v>0</v>
      </c>
      <c r="I353">
        <f t="shared" si="21"/>
        <v>1</v>
      </c>
    </row>
    <row r="354" spans="2:9" x14ac:dyDescent="0.3">
      <c r="B354" s="12">
        <f>VLOOKUP(C354,'Raw Data'!$A$1:$I$417,9,FALSE)</f>
        <v>0</v>
      </c>
      <c r="C354">
        <v>836</v>
      </c>
      <c r="D354">
        <f>COUNTIF(Replication!$B$2:$ML$100,C354)</f>
        <v>0</v>
      </c>
      <c r="E354" s="26">
        <f t="shared" si="20"/>
        <v>0</v>
      </c>
      <c r="F354" s="1">
        <f>VLOOKUP(C354,'Raw Data'!$A$1:$L$417,2,FALSE)</f>
        <v>8.2176486062281029</v>
      </c>
      <c r="G354" s="84">
        <f t="shared" si="23"/>
        <v>13.663660281293319</v>
      </c>
      <c r="H354" s="12">
        <f t="shared" si="22"/>
        <v>0</v>
      </c>
      <c r="I354">
        <f t="shared" si="21"/>
        <v>1</v>
      </c>
    </row>
    <row r="355" spans="2:9" x14ac:dyDescent="0.3">
      <c r="B355" s="12">
        <f>VLOOKUP(C355,'Raw Data'!$A$1:$I$417,9,FALSE)</f>
        <v>0</v>
      </c>
      <c r="C355">
        <v>798</v>
      </c>
      <c r="D355">
        <f>COUNTIF(Replication!$B$2:$ML$100,C355)</f>
        <v>0</v>
      </c>
      <c r="E355" s="26">
        <f t="shared" si="20"/>
        <v>0</v>
      </c>
      <c r="F355" s="1">
        <f>VLOOKUP(C355,'Raw Data'!$A$1:$L$417,2,FALSE)</f>
        <v>7.5990387083278135</v>
      </c>
      <c r="G355" s="84">
        <f t="shared" si="23"/>
        <v>13.663660281293319</v>
      </c>
      <c r="H355" s="12">
        <f t="shared" si="22"/>
        <v>0</v>
      </c>
      <c r="I355">
        <f t="shared" si="21"/>
        <v>1</v>
      </c>
    </row>
    <row r="356" spans="2:9" x14ac:dyDescent="0.3">
      <c r="B356" s="12">
        <f>VLOOKUP(C356,'Raw Data'!$A$1:$I$417,9,FALSE)</f>
        <v>0</v>
      </c>
      <c r="C356">
        <v>1035</v>
      </c>
      <c r="D356">
        <f>COUNTIF(Replication!$B$2:$ML$100,C356)</f>
        <v>0</v>
      </c>
      <c r="E356" s="26">
        <f t="shared" si="20"/>
        <v>0</v>
      </c>
      <c r="F356" s="1">
        <f>VLOOKUP(C356,'Raw Data'!$A$1:$L$417,2,FALSE)</f>
        <v>6.5297033608495365</v>
      </c>
      <c r="G356" s="84">
        <f t="shared" si="23"/>
        <v>13.663660281293319</v>
      </c>
      <c r="H356" s="12">
        <f t="shared" si="22"/>
        <v>0</v>
      </c>
      <c r="I356">
        <f t="shared" si="21"/>
        <v>1</v>
      </c>
    </row>
    <row r="357" spans="2:9" x14ac:dyDescent="0.3">
      <c r="B357" s="12">
        <f>VLOOKUP(C357,'Raw Data'!$A$1:$I$417,9,FALSE)</f>
        <v>0</v>
      </c>
      <c r="C357">
        <v>443</v>
      </c>
      <c r="D357">
        <f>COUNTIF(Replication!$B$2:$ML$100,C357)</f>
        <v>0</v>
      </c>
      <c r="E357" s="26">
        <f t="shared" si="20"/>
        <v>0</v>
      </c>
      <c r="F357" s="1">
        <f>VLOOKUP(C357,'Raw Data'!$A$1:$L$417,2,FALSE)</f>
        <v>3.1097485430567051</v>
      </c>
      <c r="G357" s="84">
        <f t="shared" si="23"/>
        <v>13.663660281293319</v>
      </c>
      <c r="H357" s="12">
        <f t="shared" si="22"/>
        <v>0</v>
      </c>
      <c r="I357">
        <f t="shared" si="21"/>
        <v>1</v>
      </c>
    </row>
    <row r="358" spans="2:9" x14ac:dyDescent="0.3">
      <c r="B358" s="12">
        <f>VLOOKUP(C358,'Raw Data'!$A$1:$I$417,9,FALSE)</f>
        <v>0</v>
      </c>
      <c r="C358">
        <v>866</v>
      </c>
      <c r="D358">
        <f>COUNTIF(Replication!$B$2:$ML$100,C358)</f>
        <v>0</v>
      </c>
      <c r="E358" s="26">
        <f t="shared" si="20"/>
        <v>0</v>
      </c>
      <c r="F358" s="1">
        <f>VLOOKUP(C358,'Raw Data'!$A$1:$L$417,2,FALSE)</f>
        <v>2.6350399785298926</v>
      </c>
      <c r="G358" s="84">
        <f t="shared" si="23"/>
        <v>13.663660281293319</v>
      </c>
      <c r="H358" s="12">
        <f t="shared" si="22"/>
        <v>0</v>
      </c>
      <c r="I358">
        <f t="shared" si="21"/>
        <v>1</v>
      </c>
    </row>
    <row r="359" spans="2:9" x14ac:dyDescent="0.3">
      <c r="B359" s="12">
        <f>VLOOKUP(C359,'Raw Data'!$A$1:$I$417,9,FALSE)</f>
        <v>0</v>
      </c>
      <c r="C359">
        <v>424</v>
      </c>
      <c r="D359">
        <f>COUNTIF(Replication!$B$2:$ML$100,C359)</f>
        <v>0</v>
      </c>
      <c r="E359" s="26">
        <f t="shared" si="20"/>
        <v>0</v>
      </c>
      <c r="F359" s="1">
        <f>VLOOKUP(C359,'Raw Data'!$A$1:$L$417,2,FALSE)</f>
        <v>3.3462930271354443</v>
      </c>
      <c r="G359" s="84">
        <f t="shared" si="23"/>
        <v>13.663660281293319</v>
      </c>
      <c r="H359" s="12">
        <f t="shared" si="22"/>
        <v>0</v>
      </c>
      <c r="I359">
        <f t="shared" si="21"/>
        <v>1</v>
      </c>
    </row>
    <row r="360" spans="2:9" x14ac:dyDescent="0.3">
      <c r="B360" s="12">
        <f>VLOOKUP(C360,'Raw Data'!$A$1:$I$417,9,FALSE)</f>
        <v>0</v>
      </c>
      <c r="C360">
        <v>96</v>
      </c>
      <c r="D360">
        <f>COUNTIF(Replication!$B$2:$ML$100,C360)</f>
        <v>0</v>
      </c>
      <c r="E360" s="26">
        <f t="shared" si="20"/>
        <v>0</v>
      </c>
      <c r="F360" s="1">
        <f>VLOOKUP(C360,'Raw Data'!$A$1:$L$417,2,FALSE)</f>
        <v>1.393934377638294</v>
      </c>
      <c r="G360" s="84">
        <f t="shared" si="23"/>
        <v>13.663660281293319</v>
      </c>
      <c r="H360" s="12">
        <f t="shared" si="22"/>
        <v>0</v>
      </c>
      <c r="I360">
        <f t="shared" si="21"/>
        <v>1</v>
      </c>
    </row>
    <row r="361" spans="2:9" x14ac:dyDescent="0.3">
      <c r="B361" s="12">
        <f>VLOOKUP(C361,'Raw Data'!$A$1:$I$417,9,FALSE)</f>
        <v>0</v>
      </c>
      <c r="C361">
        <v>162</v>
      </c>
      <c r="D361">
        <f>COUNTIF(Replication!$B$2:$ML$100,C361)</f>
        <v>0</v>
      </c>
      <c r="E361" s="26">
        <f t="shared" si="20"/>
        <v>0</v>
      </c>
      <c r="F361" s="1">
        <f>VLOOKUP(C361,'Raw Data'!$A$1:$L$417,2,FALSE)</f>
        <v>2.7340007245007492</v>
      </c>
      <c r="G361" s="84">
        <f t="shared" si="23"/>
        <v>13.663660281293319</v>
      </c>
      <c r="H361" s="12">
        <f t="shared" si="22"/>
        <v>0</v>
      </c>
      <c r="I361">
        <f t="shared" si="21"/>
        <v>1</v>
      </c>
    </row>
    <row r="362" spans="2:9" x14ac:dyDescent="0.3">
      <c r="B362" s="12">
        <f>VLOOKUP(C362,'Raw Data'!$A$1:$I$417,9,FALSE)</f>
        <v>1</v>
      </c>
      <c r="C362">
        <v>427</v>
      </c>
      <c r="D362">
        <f>COUNTIF(Replication!$B$2:$ML$100,C362)</f>
        <v>0</v>
      </c>
      <c r="E362" s="26">
        <f t="shared" si="20"/>
        <v>0</v>
      </c>
      <c r="F362" s="1">
        <f>VLOOKUP(C362,'Raw Data'!$A$1:$L$417,2,FALSE)</f>
        <v>1.6019813705055252</v>
      </c>
      <c r="G362" s="84">
        <f t="shared" si="23"/>
        <v>12.061678910787794</v>
      </c>
      <c r="H362" s="12">
        <f t="shared" si="22"/>
        <v>1</v>
      </c>
      <c r="I362">
        <f t="shared" si="21"/>
        <v>1</v>
      </c>
    </row>
    <row r="363" spans="2:9" x14ac:dyDescent="0.3">
      <c r="B363" s="12">
        <f>VLOOKUP(C363,'Raw Data'!$A$1:$I$417,9,FALSE)</f>
        <v>0</v>
      </c>
      <c r="C363">
        <v>220</v>
      </c>
      <c r="D363">
        <f>COUNTIF(Replication!$B$2:$ML$100,C363)</f>
        <v>0</v>
      </c>
      <c r="E363" s="26">
        <f t="shared" si="20"/>
        <v>0</v>
      </c>
      <c r="F363" s="1">
        <f>VLOOKUP(C363,'Raw Data'!$A$1:$L$417,2,FALSE)</f>
        <v>2.2304074359527681</v>
      </c>
      <c r="G363" s="84">
        <f t="shared" si="23"/>
        <v>12.061678910787794</v>
      </c>
      <c r="H363" s="12">
        <f t="shared" si="22"/>
        <v>0</v>
      </c>
      <c r="I363">
        <f t="shared" si="21"/>
        <v>1</v>
      </c>
    </row>
    <row r="364" spans="2:9" x14ac:dyDescent="0.3">
      <c r="B364" s="12">
        <f>VLOOKUP(C364,'Raw Data'!$A$1:$I$417,9,FALSE)</f>
        <v>0</v>
      </c>
      <c r="C364">
        <v>1010</v>
      </c>
      <c r="D364">
        <f>COUNTIF(Replication!$B$2:$ML$100,C364)</f>
        <v>0</v>
      </c>
      <c r="E364" s="26">
        <f t="shared" si="20"/>
        <v>0</v>
      </c>
      <c r="F364" s="1">
        <f>VLOOKUP(C364,'Raw Data'!$A$1:$L$417,2,FALSE)</f>
        <v>2.9190005587012378</v>
      </c>
      <c r="G364" s="84">
        <f t="shared" si="23"/>
        <v>12.061678910787794</v>
      </c>
      <c r="H364" s="12">
        <f t="shared" si="22"/>
        <v>0</v>
      </c>
      <c r="I364">
        <f t="shared" si="21"/>
        <v>1</v>
      </c>
    </row>
    <row r="365" spans="2:9" x14ac:dyDescent="0.3">
      <c r="B365" s="12">
        <f>VLOOKUP(C365,'Raw Data'!$A$1:$I$417,9,FALSE)</f>
        <v>0</v>
      </c>
      <c r="C365">
        <v>305</v>
      </c>
      <c r="D365">
        <f>COUNTIF(Replication!$B$2:$ML$100,C365)</f>
        <v>0</v>
      </c>
      <c r="E365" s="26">
        <f t="shared" si="20"/>
        <v>0</v>
      </c>
      <c r="F365" s="1">
        <f>VLOOKUP(C365,'Raw Data'!$A$1:$L$417,2,FALSE)</f>
        <v>0.80548397244653347</v>
      </c>
      <c r="G365" s="84">
        <f t="shared" si="23"/>
        <v>12.061678910787794</v>
      </c>
      <c r="H365" s="12">
        <f t="shared" si="22"/>
        <v>0</v>
      </c>
      <c r="I365">
        <f t="shared" si="21"/>
        <v>1</v>
      </c>
    </row>
    <row r="366" spans="2:9" x14ac:dyDescent="0.3">
      <c r="B366" s="12">
        <f>VLOOKUP(C366,'Raw Data'!$A$1:$I$417,9,FALSE)</f>
        <v>0</v>
      </c>
      <c r="C366">
        <v>194</v>
      </c>
      <c r="D366">
        <f>COUNTIF(Replication!$B$2:$ML$100,C366)</f>
        <v>0</v>
      </c>
      <c r="E366" s="26">
        <f t="shared" si="20"/>
        <v>0</v>
      </c>
      <c r="F366" s="1">
        <f>VLOOKUP(C366,'Raw Data'!$A$1:$L$417,2,FALSE)</f>
        <v>9.7206056137448158</v>
      </c>
      <c r="G366" s="84">
        <f t="shared" si="23"/>
        <v>12.061678910787794</v>
      </c>
      <c r="H366" s="12">
        <f t="shared" si="22"/>
        <v>0</v>
      </c>
      <c r="I366">
        <f t="shared" si="21"/>
        <v>1</v>
      </c>
    </row>
    <row r="367" spans="2:9" x14ac:dyDescent="0.3">
      <c r="B367" s="12">
        <f>VLOOKUP(C367,'Raw Data'!$A$1:$I$417,9,FALSE)</f>
        <v>0</v>
      </c>
      <c r="C367">
        <v>840</v>
      </c>
      <c r="D367">
        <f>COUNTIF(Replication!$B$2:$ML$100,C367)</f>
        <v>0</v>
      </c>
      <c r="E367" s="26">
        <f t="shared" si="20"/>
        <v>0</v>
      </c>
      <c r="F367" s="1">
        <f>VLOOKUP(C367,'Raw Data'!$A$1:$L$417,2,FALSE)</f>
        <v>7.3690581900459593</v>
      </c>
      <c r="G367" s="84">
        <f t="shared" si="23"/>
        <v>12.061678910787794</v>
      </c>
      <c r="H367" s="12">
        <f t="shared" si="22"/>
        <v>0</v>
      </c>
      <c r="I367">
        <f t="shared" si="21"/>
        <v>1</v>
      </c>
    </row>
    <row r="368" spans="2:9" x14ac:dyDescent="0.3">
      <c r="B368" s="12">
        <f>VLOOKUP(C368,'Raw Data'!$A$1:$I$417,9,FALSE)</f>
        <v>0</v>
      </c>
      <c r="C368">
        <v>727</v>
      </c>
      <c r="D368">
        <f>COUNTIF(Replication!$B$2:$ML$100,C368)</f>
        <v>0</v>
      </c>
      <c r="E368" s="26">
        <f t="shared" si="20"/>
        <v>0</v>
      </c>
      <c r="F368" s="1">
        <f>VLOOKUP(C368,'Raw Data'!$A$1:$L$417,2,FALSE)</f>
        <v>7.578015698568354</v>
      </c>
      <c r="G368" s="84">
        <f t="shared" si="23"/>
        <v>12.061678910787794</v>
      </c>
      <c r="H368" s="12">
        <f t="shared" si="22"/>
        <v>0</v>
      </c>
      <c r="I368">
        <f t="shared" si="21"/>
        <v>1</v>
      </c>
    </row>
    <row r="369" spans="2:9" x14ac:dyDescent="0.3">
      <c r="B369" s="12">
        <f>VLOOKUP(C369,'Raw Data'!$A$1:$I$417,9,FALSE)</f>
        <v>0</v>
      </c>
      <c r="C369">
        <v>631</v>
      </c>
      <c r="D369">
        <f>COUNTIF(Replication!$B$2:$ML$100,C369)</f>
        <v>0</v>
      </c>
      <c r="E369" s="26">
        <f t="shared" si="20"/>
        <v>0</v>
      </c>
      <c r="F369" s="1">
        <f>VLOOKUP(C369,'Raw Data'!$A$1:$L$417,2,FALSE)</f>
        <v>9.4227545758652536</v>
      </c>
      <c r="G369" s="84">
        <f t="shared" si="23"/>
        <v>12.061678910787794</v>
      </c>
      <c r="H369" s="12">
        <f t="shared" si="22"/>
        <v>0</v>
      </c>
      <c r="I369">
        <f t="shared" si="21"/>
        <v>1</v>
      </c>
    </row>
    <row r="370" spans="2:9" x14ac:dyDescent="0.3">
      <c r="B370" s="12">
        <f>VLOOKUP(C370,'Raw Data'!$A$1:$I$417,9,FALSE)</f>
        <v>0</v>
      </c>
      <c r="C370">
        <v>790</v>
      </c>
      <c r="D370">
        <f>COUNTIF(Replication!$B$2:$ML$100,C370)</f>
        <v>0</v>
      </c>
      <c r="E370" s="26">
        <f t="shared" si="20"/>
        <v>0</v>
      </c>
      <c r="F370" s="1">
        <f>VLOOKUP(C370,'Raw Data'!$A$1:$L$417,2,FALSE)</f>
        <v>7.8201937950803906</v>
      </c>
      <c r="G370" s="84">
        <f t="shared" si="23"/>
        <v>12.061678910787794</v>
      </c>
      <c r="H370" s="12">
        <f t="shared" si="22"/>
        <v>0</v>
      </c>
      <c r="I370">
        <f t="shared" si="21"/>
        <v>1</v>
      </c>
    </row>
    <row r="371" spans="2:9" x14ac:dyDescent="0.3">
      <c r="B371" s="12">
        <f>VLOOKUP(C371,'Raw Data'!$A$1:$I$417,9,FALSE)</f>
        <v>0</v>
      </c>
      <c r="C371">
        <v>854</v>
      </c>
      <c r="D371">
        <f>COUNTIF(Replication!$B$2:$ML$100,C371)</f>
        <v>0</v>
      </c>
      <c r="E371" s="26">
        <f t="shared" si="20"/>
        <v>0</v>
      </c>
      <c r="F371" s="1">
        <f>VLOOKUP(C371,'Raw Data'!$A$1:$L$417,2,FALSE)</f>
        <v>2.943799591398677</v>
      </c>
      <c r="G371" s="84">
        <f t="shared" si="23"/>
        <v>12.061678910787794</v>
      </c>
      <c r="H371" s="12">
        <f t="shared" si="22"/>
        <v>0</v>
      </c>
      <c r="I371">
        <f t="shared" si="21"/>
        <v>1</v>
      </c>
    </row>
    <row r="372" spans="2:9" x14ac:dyDescent="0.3">
      <c r="B372" s="12">
        <f>VLOOKUP(C372,'Raw Data'!$A$1:$I$417,9,FALSE)</f>
        <v>0</v>
      </c>
      <c r="C372">
        <v>707</v>
      </c>
      <c r="D372">
        <f>COUNTIF(Replication!$B$2:$ML$100,C372)</f>
        <v>0</v>
      </c>
      <c r="E372" s="26">
        <f t="shared" si="20"/>
        <v>0</v>
      </c>
      <c r="F372" s="1">
        <f>VLOOKUP(C372,'Raw Data'!$A$1:$L$417,2,FALSE)</f>
        <v>0.42070180467416507</v>
      </c>
      <c r="G372" s="84">
        <f t="shared" si="23"/>
        <v>12.061678910787794</v>
      </c>
      <c r="H372" s="12">
        <f t="shared" si="22"/>
        <v>0</v>
      </c>
      <c r="I372">
        <f t="shared" si="21"/>
        <v>1</v>
      </c>
    </row>
    <row r="373" spans="2:9" x14ac:dyDescent="0.3">
      <c r="B373" s="12">
        <f>VLOOKUP(C373,'Raw Data'!$A$1:$I$417,9,FALSE)</f>
        <v>0</v>
      </c>
      <c r="C373">
        <v>971</v>
      </c>
      <c r="D373">
        <f>COUNTIF(Replication!$B$2:$ML$100,C373)</f>
        <v>0</v>
      </c>
      <c r="E373" s="26">
        <f t="shared" si="20"/>
        <v>0</v>
      </c>
      <c r="F373" s="1">
        <f>VLOOKUP(C373,'Raw Data'!$A$1:$L$417,2,FALSE)</f>
        <v>0.33898337185350957</v>
      </c>
      <c r="G373" s="84">
        <f t="shared" si="23"/>
        <v>12.061678910787794</v>
      </c>
      <c r="H373" s="12">
        <f t="shared" si="22"/>
        <v>0</v>
      </c>
      <c r="I373">
        <f t="shared" si="21"/>
        <v>1</v>
      </c>
    </row>
    <row r="374" spans="2:9" x14ac:dyDescent="0.3">
      <c r="B374" s="12">
        <f>VLOOKUP(C374,'Raw Data'!$A$1:$I$417,9,FALSE)</f>
        <v>0</v>
      </c>
      <c r="C374">
        <v>760</v>
      </c>
      <c r="D374">
        <f>COUNTIF(Replication!$B$2:$ML$100,C374)</f>
        <v>0</v>
      </c>
      <c r="E374" s="26">
        <f t="shared" si="20"/>
        <v>0</v>
      </c>
      <c r="F374" s="1">
        <f>VLOOKUP(C374,'Raw Data'!$A$1:$L$417,2,FALSE)</f>
        <v>1.6634532033342386</v>
      </c>
      <c r="G374" s="84">
        <f t="shared" si="23"/>
        <v>12.061678910787794</v>
      </c>
      <c r="H374" s="12">
        <f t="shared" si="22"/>
        <v>0</v>
      </c>
      <c r="I374">
        <f t="shared" si="21"/>
        <v>1</v>
      </c>
    </row>
    <row r="375" spans="2:9" x14ac:dyDescent="0.3">
      <c r="B375" s="12">
        <f>VLOOKUP(C375,'Raw Data'!$A$1:$I$417,9,FALSE)</f>
        <v>0</v>
      </c>
      <c r="C375">
        <v>466</v>
      </c>
      <c r="D375">
        <f>COUNTIF(Replication!$B$2:$ML$100,C375)</f>
        <v>0</v>
      </c>
      <c r="E375" s="26">
        <f t="shared" si="20"/>
        <v>0</v>
      </c>
      <c r="F375" s="1">
        <f>VLOOKUP(C375,'Raw Data'!$A$1:$L$417,2,FALSE)</f>
        <v>5.2486953648089152</v>
      </c>
      <c r="G375" s="84">
        <f t="shared" si="23"/>
        <v>12.061678910787794</v>
      </c>
      <c r="H375" s="12">
        <f t="shared" si="22"/>
        <v>0</v>
      </c>
      <c r="I375">
        <f t="shared" si="21"/>
        <v>1</v>
      </c>
    </row>
    <row r="376" spans="2:9" x14ac:dyDescent="0.3">
      <c r="B376" s="12">
        <f>VLOOKUP(C376,'Raw Data'!$A$1:$I$417,9,FALSE)</f>
        <v>0</v>
      </c>
      <c r="C376">
        <v>301</v>
      </c>
      <c r="D376">
        <f>COUNTIF(Replication!$B$2:$ML$100,C376)</f>
        <v>0</v>
      </c>
      <c r="E376" s="26">
        <f t="shared" si="20"/>
        <v>0</v>
      </c>
      <c r="F376" s="1">
        <f>VLOOKUP(C376,'Raw Data'!$A$1:$L$417,2,FALSE)</f>
        <v>2.4905992248793387</v>
      </c>
      <c r="G376" s="84">
        <f t="shared" si="23"/>
        <v>12.061678910787794</v>
      </c>
      <c r="H376" s="12">
        <f t="shared" si="22"/>
        <v>0</v>
      </c>
      <c r="I376">
        <f t="shared" si="21"/>
        <v>1</v>
      </c>
    </row>
    <row r="377" spans="2:9" x14ac:dyDescent="0.3">
      <c r="B377" s="12">
        <f>VLOOKUP(C377,'Raw Data'!$A$1:$I$417,9,FALSE)</f>
        <v>0</v>
      </c>
      <c r="C377">
        <v>502</v>
      </c>
      <c r="D377">
        <f>COUNTIF(Replication!$B$2:$ML$100,C377)</f>
        <v>0</v>
      </c>
      <c r="E377" s="26">
        <f t="shared" si="20"/>
        <v>0</v>
      </c>
      <c r="F377" s="1">
        <f>VLOOKUP(C377,'Raw Data'!$A$1:$L$417,2,FALSE)</f>
        <v>9.7173833291681291</v>
      </c>
      <c r="G377" s="84">
        <f t="shared" si="23"/>
        <v>12.061678910787794</v>
      </c>
      <c r="H377" s="12">
        <f t="shared" si="22"/>
        <v>0</v>
      </c>
      <c r="I377">
        <f t="shared" si="21"/>
        <v>1</v>
      </c>
    </row>
    <row r="378" spans="2:9" x14ac:dyDescent="0.3">
      <c r="B378" s="12">
        <f>VLOOKUP(C378,'Raw Data'!$A$1:$I$417,9,FALSE)</f>
        <v>0</v>
      </c>
      <c r="C378">
        <v>512</v>
      </c>
      <c r="D378">
        <f>COUNTIF(Replication!$B$2:$ML$100,C378)</f>
        <v>0</v>
      </c>
      <c r="E378" s="26">
        <f t="shared" si="20"/>
        <v>0</v>
      </c>
      <c r="F378" s="1">
        <f>VLOOKUP(C378,'Raw Data'!$A$1:$L$417,2,FALSE)</f>
        <v>9.520233719062384</v>
      </c>
      <c r="G378" s="84">
        <f t="shared" si="23"/>
        <v>12.061678910787794</v>
      </c>
      <c r="H378" s="12">
        <f t="shared" si="22"/>
        <v>0</v>
      </c>
      <c r="I378">
        <f t="shared" si="21"/>
        <v>1</v>
      </c>
    </row>
    <row r="379" spans="2:9" x14ac:dyDescent="0.3">
      <c r="B379" s="12">
        <f>VLOOKUP(C379,'Raw Data'!$A$1:$I$417,9,FALSE)</f>
        <v>0</v>
      </c>
      <c r="C379">
        <v>711</v>
      </c>
      <c r="D379">
        <f>COUNTIF(Replication!$B$2:$ML$100,C379)</f>
        <v>0</v>
      </c>
      <c r="E379" s="26">
        <f t="shared" si="20"/>
        <v>0</v>
      </c>
      <c r="F379" s="1">
        <f>VLOOKUP(C379,'Raw Data'!$A$1:$L$417,2,FALSE)</f>
        <v>9.8150844063647096</v>
      </c>
      <c r="G379" s="84">
        <f t="shared" si="23"/>
        <v>12.061678910787794</v>
      </c>
      <c r="H379" s="12">
        <f t="shared" si="22"/>
        <v>0</v>
      </c>
      <c r="I379">
        <f t="shared" si="21"/>
        <v>1</v>
      </c>
    </row>
    <row r="380" spans="2:9" x14ac:dyDescent="0.3">
      <c r="B380" s="12">
        <f>VLOOKUP(C380,'Raw Data'!$A$1:$I$417,9,FALSE)</f>
        <v>0</v>
      </c>
      <c r="C380">
        <v>461</v>
      </c>
      <c r="D380">
        <f>COUNTIF(Replication!$B$2:$ML$100,C380)</f>
        <v>0</v>
      </c>
      <c r="E380" s="26">
        <f t="shared" si="20"/>
        <v>0</v>
      </c>
      <c r="F380" s="1">
        <f>VLOOKUP(C380,'Raw Data'!$A$1:$L$417,2,FALSE)</f>
        <v>9.8706430081565681</v>
      </c>
      <c r="G380" s="84">
        <f t="shared" si="23"/>
        <v>12.061678910787794</v>
      </c>
      <c r="H380" s="12">
        <f t="shared" si="22"/>
        <v>0</v>
      </c>
      <c r="I380">
        <f t="shared" si="21"/>
        <v>1</v>
      </c>
    </row>
    <row r="381" spans="2:9" x14ac:dyDescent="0.3">
      <c r="B381" s="12">
        <f>VLOOKUP(C381,'Raw Data'!$A$1:$I$417,9,FALSE)</f>
        <v>0</v>
      </c>
      <c r="C381">
        <v>524</v>
      </c>
      <c r="D381">
        <f>COUNTIF(Replication!$B$2:$ML$100,C381)</f>
        <v>0</v>
      </c>
      <c r="E381" s="26">
        <f t="shared" si="20"/>
        <v>0</v>
      </c>
      <c r="F381" s="1">
        <f>VLOOKUP(C381,'Raw Data'!$A$1:$L$417,2,FALSE)</f>
        <v>8.7645752668996515</v>
      </c>
      <c r="G381" s="84">
        <f t="shared" si="23"/>
        <v>12.061678910787794</v>
      </c>
      <c r="H381" s="12">
        <f t="shared" si="22"/>
        <v>0</v>
      </c>
      <c r="I381">
        <f t="shared" si="21"/>
        <v>1</v>
      </c>
    </row>
    <row r="382" spans="2:9" x14ac:dyDescent="0.3">
      <c r="B382" s="12">
        <f>VLOOKUP(C382,'Raw Data'!$A$1:$I$417,9,FALSE)</f>
        <v>0</v>
      </c>
      <c r="C382">
        <v>802</v>
      </c>
      <c r="D382">
        <f>COUNTIF(Replication!$B$2:$ML$100,C382)</f>
        <v>0</v>
      </c>
      <c r="E382" s="26">
        <f t="shared" si="20"/>
        <v>0</v>
      </c>
      <c r="F382" s="1">
        <f>VLOOKUP(C382,'Raw Data'!$A$1:$L$417,2,FALSE)</f>
        <v>7.1043214039770586</v>
      </c>
      <c r="G382" s="84">
        <f t="shared" si="23"/>
        <v>12.061678910787794</v>
      </c>
      <c r="H382" s="12">
        <f t="shared" si="22"/>
        <v>0</v>
      </c>
      <c r="I382">
        <f t="shared" si="21"/>
        <v>1</v>
      </c>
    </row>
    <row r="383" spans="2:9" x14ac:dyDescent="0.3">
      <c r="B383" s="12">
        <f>VLOOKUP(C383,'Raw Data'!$A$1:$I$417,9,FALSE)</f>
        <v>0</v>
      </c>
      <c r="C383">
        <v>897</v>
      </c>
      <c r="D383">
        <f>COUNTIF(Replication!$B$2:$ML$100,C383)</f>
        <v>0</v>
      </c>
      <c r="E383" s="26">
        <f t="shared" si="20"/>
        <v>0</v>
      </c>
      <c r="F383" s="1">
        <f>VLOOKUP(C383,'Raw Data'!$A$1:$L$417,2,FALSE)</f>
        <v>6.6286404555023388</v>
      </c>
      <c r="G383" s="84">
        <f t="shared" si="23"/>
        <v>12.061678910787794</v>
      </c>
      <c r="H383" s="12">
        <f t="shared" si="22"/>
        <v>0</v>
      </c>
      <c r="I383">
        <f t="shared" si="21"/>
        <v>1</v>
      </c>
    </row>
    <row r="384" spans="2:9" x14ac:dyDescent="0.3">
      <c r="B384" s="12">
        <f>VLOOKUP(C384,'Raw Data'!$A$1:$I$417,9,FALSE)</f>
        <v>0</v>
      </c>
      <c r="C384">
        <v>416</v>
      </c>
      <c r="D384">
        <f>COUNTIF(Replication!$B$2:$ML$100,C384)</f>
        <v>0</v>
      </c>
      <c r="E384" s="26">
        <f t="shared" si="20"/>
        <v>0</v>
      </c>
      <c r="F384" s="1">
        <f>VLOOKUP(C384,'Raw Data'!$A$1:$L$417,2,FALSE)</f>
        <v>5.6878046898335022</v>
      </c>
      <c r="G384" s="84">
        <f t="shared" si="23"/>
        <v>12.061678910787794</v>
      </c>
      <c r="H384" s="12">
        <f t="shared" si="22"/>
        <v>0</v>
      </c>
      <c r="I384">
        <f t="shared" si="21"/>
        <v>1</v>
      </c>
    </row>
    <row r="385" spans="2:9" x14ac:dyDescent="0.3">
      <c r="B385" s="12">
        <f>VLOOKUP(C385,'Raw Data'!$A$1:$I$417,9,FALSE)</f>
        <v>0</v>
      </c>
      <c r="C385">
        <v>203</v>
      </c>
      <c r="D385">
        <f>COUNTIF(Replication!$B$2:$ML$100,C385)</f>
        <v>0</v>
      </c>
      <c r="E385" s="26">
        <f t="shared" si="20"/>
        <v>0</v>
      </c>
      <c r="F385" s="1">
        <f>VLOOKUP(C385,'Raw Data'!$A$1:$L$417,2,FALSE)</f>
        <v>2.7139433467080956</v>
      </c>
      <c r="G385" s="84">
        <f t="shared" si="23"/>
        <v>12.061678910787794</v>
      </c>
      <c r="H385" s="12">
        <f t="shared" si="22"/>
        <v>0</v>
      </c>
      <c r="I385">
        <f t="shared" si="21"/>
        <v>1</v>
      </c>
    </row>
    <row r="386" spans="2:9" x14ac:dyDescent="0.3">
      <c r="B386" s="12">
        <f>VLOOKUP(C386,'Raw Data'!$A$1:$I$417,9,FALSE)</f>
        <v>1</v>
      </c>
      <c r="C386">
        <v>320</v>
      </c>
      <c r="D386">
        <f>COUNTIF(Replication!$B$2:$ML$100,C386)</f>
        <v>0</v>
      </c>
      <c r="E386" s="26">
        <f t="shared" ref="E386:E415" si="24">D386/50</f>
        <v>0</v>
      </c>
      <c r="F386" s="1">
        <f>VLOOKUP(C386,'Raw Data'!$A$1:$L$417,2,FALSE)</f>
        <v>2.830000131724538</v>
      </c>
      <c r="G386" s="84">
        <f t="shared" si="23"/>
        <v>9.2316787790632553</v>
      </c>
      <c r="H386" s="12">
        <f t="shared" si="22"/>
        <v>1</v>
      </c>
      <c r="I386">
        <f t="shared" ref="I386:I416" si="25">IF(H386=B386,1,0)</f>
        <v>1</v>
      </c>
    </row>
    <row r="387" spans="2:9" x14ac:dyDescent="0.3">
      <c r="B387" s="12">
        <f>VLOOKUP(C387,'Raw Data'!$A$1:$I$417,9,FALSE)</f>
        <v>0</v>
      </c>
      <c r="C387">
        <v>872</v>
      </c>
      <c r="D387">
        <f>COUNTIF(Replication!$B$2:$ML$100,C387)</f>
        <v>0</v>
      </c>
      <c r="E387" s="26">
        <f t="shared" si="24"/>
        <v>0</v>
      </c>
      <c r="F387" s="1">
        <f>VLOOKUP(C387,'Raw Data'!$A$1:$L$417,2,FALSE)</f>
        <v>5.8911859065317298</v>
      </c>
      <c r="G387" s="84">
        <f t="shared" si="23"/>
        <v>9.2316787790632553</v>
      </c>
      <c r="H387" s="12">
        <f t="shared" ref="H387:H415" si="26">IF(G387&gt;0,IF(B387&gt;0,1,0),0)</f>
        <v>0</v>
      </c>
      <c r="I387">
        <f t="shared" si="25"/>
        <v>1</v>
      </c>
    </row>
    <row r="388" spans="2:9" x14ac:dyDescent="0.3">
      <c r="B388" s="12">
        <f>VLOOKUP(C388,'Raw Data'!$A$1:$I$417,9,FALSE)</f>
        <v>0</v>
      </c>
      <c r="C388">
        <v>834</v>
      </c>
      <c r="D388">
        <f>COUNTIF(Replication!$B$2:$ML$100,C388)</f>
        <v>0</v>
      </c>
      <c r="E388" s="26">
        <f t="shared" si="24"/>
        <v>0</v>
      </c>
      <c r="F388" s="1">
        <f>VLOOKUP(C388,'Raw Data'!$A$1:$L$417,2,FALSE)</f>
        <v>4.6737245424359468</v>
      </c>
      <c r="G388" s="84">
        <f t="shared" ref="G388:G415" si="27">IF(B388&gt;0,G387-F388,G387)</f>
        <v>9.2316787790632553</v>
      </c>
      <c r="H388" s="12">
        <f t="shared" si="26"/>
        <v>0</v>
      </c>
      <c r="I388">
        <f t="shared" si="25"/>
        <v>1</v>
      </c>
    </row>
    <row r="389" spans="2:9" x14ac:dyDescent="0.3">
      <c r="B389" s="12">
        <f>VLOOKUP(C389,'Raw Data'!$A$1:$I$417,9,FALSE)</f>
        <v>0</v>
      </c>
      <c r="C389">
        <v>458</v>
      </c>
      <c r="D389">
        <f>COUNTIF(Replication!$B$2:$ML$100,C389)</f>
        <v>0</v>
      </c>
      <c r="E389" s="26">
        <f t="shared" si="24"/>
        <v>0</v>
      </c>
      <c r="F389" s="1">
        <f>VLOOKUP(C389,'Raw Data'!$A$1:$L$417,2,FALSE)</f>
        <v>2.2156445007231671</v>
      </c>
      <c r="G389" s="84">
        <f t="shared" si="27"/>
        <v>9.2316787790632553</v>
      </c>
      <c r="H389" s="12">
        <f t="shared" si="26"/>
        <v>0</v>
      </c>
      <c r="I389">
        <f t="shared" si="25"/>
        <v>1</v>
      </c>
    </row>
    <row r="390" spans="2:9" x14ac:dyDescent="0.3">
      <c r="B390" s="12">
        <f>VLOOKUP(C390,'Raw Data'!$A$1:$I$417,9,FALSE)</f>
        <v>0</v>
      </c>
      <c r="C390">
        <v>673</v>
      </c>
      <c r="D390">
        <f>COUNTIF(Replication!$B$2:$ML$100,C390)</f>
        <v>0</v>
      </c>
      <c r="E390" s="26">
        <f t="shared" si="24"/>
        <v>0</v>
      </c>
      <c r="F390" s="1">
        <f>VLOOKUP(C390,'Raw Data'!$A$1:$L$417,2,FALSE)</f>
        <v>3.1670365844159507</v>
      </c>
      <c r="G390" s="84">
        <f t="shared" si="27"/>
        <v>9.2316787790632553</v>
      </c>
      <c r="H390" s="12">
        <f t="shared" si="26"/>
        <v>0</v>
      </c>
      <c r="I390">
        <f t="shared" si="25"/>
        <v>1</v>
      </c>
    </row>
    <row r="391" spans="2:9" x14ac:dyDescent="0.3">
      <c r="B391" s="12">
        <f>VLOOKUP(C391,'Raw Data'!$A$1:$I$417,9,FALSE)</f>
        <v>0</v>
      </c>
      <c r="C391">
        <v>983</v>
      </c>
      <c r="D391">
        <f>COUNTIF(Replication!$B$2:$ML$100,C391)</f>
        <v>0</v>
      </c>
      <c r="E391" s="26">
        <f t="shared" si="24"/>
        <v>0</v>
      </c>
      <c r="F391" s="1">
        <f>VLOOKUP(C391,'Raw Data'!$A$1:$L$417,2,FALSE)</f>
        <v>8.4421409456160852</v>
      </c>
      <c r="G391" s="84">
        <f t="shared" si="27"/>
        <v>9.2316787790632553</v>
      </c>
      <c r="H391" s="12">
        <f t="shared" si="26"/>
        <v>0</v>
      </c>
      <c r="I391">
        <f t="shared" si="25"/>
        <v>1</v>
      </c>
    </row>
    <row r="392" spans="2:9" x14ac:dyDescent="0.3">
      <c r="B392" s="12">
        <f>VLOOKUP(C392,'Raw Data'!$A$1:$I$417,9,FALSE)</f>
        <v>0</v>
      </c>
      <c r="C392">
        <v>642</v>
      </c>
      <c r="D392">
        <f>COUNTIF(Replication!$B$2:$ML$100,C392)</f>
        <v>0</v>
      </c>
      <c r="E392" s="26">
        <f t="shared" si="24"/>
        <v>0</v>
      </c>
      <c r="F392" s="1">
        <f>VLOOKUP(C392,'Raw Data'!$A$1:$L$417,2,FALSE)</f>
        <v>6.4951266980526849</v>
      </c>
      <c r="G392" s="84">
        <f t="shared" si="27"/>
        <v>9.2316787790632553</v>
      </c>
      <c r="H392" s="12">
        <f t="shared" si="26"/>
        <v>0</v>
      </c>
      <c r="I392">
        <f t="shared" si="25"/>
        <v>1</v>
      </c>
    </row>
    <row r="393" spans="2:9" x14ac:dyDescent="0.3">
      <c r="B393" s="12">
        <f>VLOOKUP(C393,'Raw Data'!$A$1:$I$417,9,FALSE)</f>
        <v>0</v>
      </c>
      <c r="C393">
        <v>664</v>
      </c>
      <c r="D393">
        <f>COUNTIF(Replication!$B$2:$ML$100,C393)</f>
        <v>0</v>
      </c>
      <c r="E393" s="26">
        <f t="shared" si="24"/>
        <v>0</v>
      </c>
      <c r="F393" s="1">
        <f>VLOOKUP(C393,'Raw Data'!$A$1:$L$417,2,FALSE)</f>
        <v>3.0188261566051757</v>
      </c>
      <c r="G393" s="84">
        <f t="shared" si="27"/>
        <v>9.2316787790632553</v>
      </c>
      <c r="H393" s="12">
        <f t="shared" si="26"/>
        <v>0</v>
      </c>
      <c r="I393">
        <f t="shared" si="25"/>
        <v>1</v>
      </c>
    </row>
    <row r="394" spans="2:9" x14ac:dyDescent="0.3">
      <c r="B394" s="12">
        <f>VLOOKUP(C394,'Raw Data'!$A$1:$I$417,9,FALSE)</f>
        <v>0</v>
      </c>
      <c r="C394">
        <v>317</v>
      </c>
      <c r="D394">
        <f>COUNTIF(Replication!$B$2:$ML$100,C394)</f>
        <v>0</v>
      </c>
      <c r="E394" s="26">
        <f t="shared" si="24"/>
        <v>0</v>
      </c>
      <c r="F394" s="1">
        <f>VLOOKUP(C394,'Raw Data'!$A$1:$L$417,2,FALSE)</f>
        <v>2.375879976802727</v>
      </c>
      <c r="G394" s="84">
        <f t="shared" si="27"/>
        <v>9.2316787790632553</v>
      </c>
      <c r="H394" s="12">
        <f t="shared" si="26"/>
        <v>0</v>
      </c>
      <c r="I394">
        <f t="shared" si="25"/>
        <v>1</v>
      </c>
    </row>
    <row r="395" spans="2:9" x14ac:dyDescent="0.3">
      <c r="B395" s="12">
        <f>VLOOKUP(C395,'Raw Data'!$A$1:$I$417,9,FALSE)</f>
        <v>0</v>
      </c>
      <c r="C395">
        <v>723</v>
      </c>
      <c r="D395">
        <f>COUNTIF(Replication!$B$2:$ML$100,C395)</f>
        <v>0</v>
      </c>
      <c r="E395" s="26">
        <f t="shared" si="24"/>
        <v>0</v>
      </c>
      <c r="F395" s="1">
        <f>VLOOKUP(C395,'Raw Data'!$A$1:$L$417,2,FALSE)</f>
        <v>3.2634114782301382</v>
      </c>
      <c r="G395" s="84">
        <f t="shared" si="27"/>
        <v>9.2316787790632553</v>
      </c>
      <c r="H395" s="12">
        <f t="shared" si="26"/>
        <v>0</v>
      </c>
      <c r="I395">
        <f t="shared" si="25"/>
        <v>1</v>
      </c>
    </row>
    <row r="396" spans="2:9" x14ac:dyDescent="0.3">
      <c r="B396" s="12">
        <f>VLOOKUP(C396,'Raw Data'!$A$1:$I$417,9,FALSE)</f>
        <v>0</v>
      </c>
      <c r="C396">
        <v>259</v>
      </c>
      <c r="D396">
        <f>COUNTIF(Replication!$B$2:$ML$100,C396)</f>
        <v>0</v>
      </c>
      <c r="E396" s="26">
        <f t="shared" si="24"/>
        <v>0</v>
      </c>
      <c r="F396" s="1">
        <f>VLOOKUP(C396,'Raw Data'!$A$1:$L$417,2,FALSE)</f>
        <v>5.4742963618038454</v>
      </c>
      <c r="G396" s="84">
        <f t="shared" si="27"/>
        <v>9.2316787790632553</v>
      </c>
      <c r="H396" s="12">
        <f t="shared" si="26"/>
        <v>0</v>
      </c>
      <c r="I396">
        <f t="shared" si="25"/>
        <v>1</v>
      </c>
    </row>
    <row r="397" spans="2:9" x14ac:dyDescent="0.3">
      <c r="B397" s="12">
        <f>VLOOKUP(C397,'Raw Data'!$A$1:$I$417,9,FALSE)</f>
        <v>1</v>
      </c>
      <c r="C397">
        <v>1078</v>
      </c>
      <c r="D397">
        <f>COUNTIF(Replication!$B$2:$ML$100,C397)</f>
        <v>0</v>
      </c>
      <c r="E397" s="26">
        <f t="shared" si="24"/>
        <v>0</v>
      </c>
      <c r="F397" s="1">
        <f>VLOOKUP(C397,'Raw Data'!$A$1:$L$417,2,FALSE)</f>
        <v>3.2795894213496792</v>
      </c>
      <c r="G397" s="84">
        <f t="shared" si="27"/>
        <v>5.9520893577135761</v>
      </c>
      <c r="H397" s="12">
        <f t="shared" si="26"/>
        <v>1</v>
      </c>
      <c r="I397">
        <f t="shared" si="25"/>
        <v>1</v>
      </c>
    </row>
    <row r="398" spans="2:9" x14ac:dyDescent="0.3">
      <c r="B398" s="12">
        <f>VLOOKUP(C398,'Raw Data'!$A$1:$I$417,9,FALSE)</f>
        <v>0</v>
      </c>
      <c r="C398">
        <v>26</v>
      </c>
      <c r="D398">
        <f>COUNTIF(Replication!$B$2:$ML$100,C398)</f>
        <v>0</v>
      </c>
      <c r="E398" s="26">
        <f t="shared" si="24"/>
        <v>0</v>
      </c>
      <c r="F398" s="1">
        <f>VLOOKUP(C398,'Raw Data'!$A$1:$L$417,2,FALSE)</f>
        <v>7.0069103981768466</v>
      </c>
      <c r="G398" s="84">
        <f t="shared" si="27"/>
        <v>5.9520893577135761</v>
      </c>
      <c r="H398" s="12">
        <f t="shared" si="26"/>
        <v>0</v>
      </c>
      <c r="I398">
        <f t="shared" si="25"/>
        <v>1</v>
      </c>
    </row>
    <row r="399" spans="2:9" x14ac:dyDescent="0.3">
      <c r="B399" s="12">
        <f>VLOOKUP(C399,'Raw Data'!$A$1:$I$417,9,FALSE)</f>
        <v>0</v>
      </c>
      <c r="C399">
        <v>154</v>
      </c>
      <c r="D399">
        <f>COUNTIF(Replication!$B$2:$ML$100,C399)</f>
        <v>0</v>
      </c>
      <c r="E399" s="26">
        <f t="shared" si="24"/>
        <v>0</v>
      </c>
      <c r="F399" s="1">
        <f>VLOOKUP(C399,'Raw Data'!$A$1:$L$417,2,FALSE)</f>
        <v>5.5162632285285778</v>
      </c>
      <c r="G399" s="84">
        <f t="shared" si="27"/>
        <v>5.9520893577135761</v>
      </c>
      <c r="H399" s="12">
        <f t="shared" si="26"/>
        <v>0</v>
      </c>
      <c r="I399">
        <f t="shared" si="25"/>
        <v>1</v>
      </c>
    </row>
    <row r="400" spans="2:9" x14ac:dyDescent="0.3">
      <c r="B400" s="12">
        <f>VLOOKUP(C400,'Raw Data'!$A$1:$I$417,9,FALSE)</f>
        <v>0</v>
      </c>
      <c r="C400">
        <v>14</v>
      </c>
      <c r="D400">
        <f>COUNTIF(Replication!$B$2:$ML$100,C400)</f>
        <v>0</v>
      </c>
      <c r="E400" s="26">
        <f t="shared" si="24"/>
        <v>0</v>
      </c>
      <c r="F400" s="1">
        <f>VLOOKUP(C400,'Raw Data'!$A$1:$L$417,2,FALSE)</f>
        <v>2.9214487533555857</v>
      </c>
      <c r="G400" s="84">
        <f t="shared" si="27"/>
        <v>5.9520893577135761</v>
      </c>
      <c r="H400" s="12">
        <f t="shared" si="26"/>
        <v>0</v>
      </c>
      <c r="I400">
        <f t="shared" si="25"/>
        <v>1</v>
      </c>
    </row>
    <row r="401" spans="2:9" x14ac:dyDescent="0.3">
      <c r="B401" s="12">
        <f>VLOOKUP(C401,'Raw Data'!$A$1:$I$417,9,FALSE)</f>
        <v>0</v>
      </c>
      <c r="C401">
        <v>777</v>
      </c>
      <c r="D401">
        <f>COUNTIF(Replication!$B$2:$ML$100,C401)</f>
        <v>0</v>
      </c>
      <c r="E401" s="26">
        <f t="shared" si="24"/>
        <v>0</v>
      </c>
      <c r="F401" s="1">
        <f>VLOOKUP(C401,'Raw Data'!$A$1:$L$417,2,FALSE)</f>
        <v>2.671789963568163</v>
      </c>
      <c r="G401" s="84">
        <f t="shared" si="27"/>
        <v>5.9520893577135761</v>
      </c>
      <c r="H401" s="12">
        <f t="shared" si="26"/>
        <v>0</v>
      </c>
      <c r="I401">
        <f t="shared" si="25"/>
        <v>1</v>
      </c>
    </row>
    <row r="402" spans="2:9" x14ac:dyDescent="0.3">
      <c r="B402" s="12">
        <f>VLOOKUP(C402,'Raw Data'!$A$1:$I$417,9,FALSE)</f>
        <v>0</v>
      </c>
      <c r="C402">
        <v>962</v>
      </c>
      <c r="D402">
        <f>COUNTIF(Replication!$B$2:$ML$100,C402)</f>
        <v>0</v>
      </c>
      <c r="E402" s="26">
        <f t="shared" si="24"/>
        <v>0</v>
      </c>
      <c r="F402" s="1">
        <f>VLOOKUP(C402,'Raw Data'!$A$1:$L$417,2,FALSE)</f>
        <v>0.3621252484718851</v>
      </c>
      <c r="G402" s="84">
        <f t="shared" si="27"/>
        <v>5.9520893577135761</v>
      </c>
      <c r="H402" s="12">
        <f t="shared" si="26"/>
        <v>0</v>
      </c>
      <c r="I402">
        <f t="shared" si="25"/>
        <v>1</v>
      </c>
    </row>
    <row r="403" spans="2:9" x14ac:dyDescent="0.3">
      <c r="B403" s="12">
        <f>VLOOKUP(C403,'Raw Data'!$A$1:$I$417,9,FALSE)</f>
        <v>0</v>
      </c>
      <c r="C403">
        <v>120</v>
      </c>
      <c r="D403">
        <f>COUNTIF(Replication!$B$2:$ML$100,C403)</f>
        <v>0</v>
      </c>
      <c r="E403" s="26">
        <f t="shared" si="24"/>
        <v>0</v>
      </c>
      <c r="F403" s="1">
        <f>VLOOKUP(C403,'Raw Data'!$A$1:$L$417,2,FALSE)</f>
        <v>7.1096906978640364</v>
      </c>
      <c r="G403" s="84">
        <f t="shared" si="27"/>
        <v>5.9520893577135761</v>
      </c>
      <c r="H403" s="12">
        <f t="shared" si="26"/>
        <v>0</v>
      </c>
      <c r="I403">
        <f t="shared" si="25"/>
        <v>1</v>
      </c>
    </row>
    <row r="404" spans="2:9" x14ac:dyDescent="0.3">
      <c r="B404" s="12">
        <f>VLOOKUP(C404,'Raw Data'!$A$1:$I$417,9,FALSE)</f>
        <v>0</v>
      </c>
      <c r="C404">
        <v>954</v>
      </c>
      <c r="D404">
        <f>COUNTIF(Replication!$B$2:$ML$100,C404)</f>
        <v>0</v>
      </c>
      <c r="E404" s="26">
        <f t="shared" si="24"/>
        <v>0</v>
      </c>
      <c r="F404" s="1">
        <f>VLOOKUP(C404,'Raw Data'!$A$1:$L$417,2,FALSE)</f>
        <v>3.5213995169796286</v>
      </c>
      <c r="G404" s="84">
        <f t="shared" si="27"/>
        <v>5.9520893577135761</v>
      </c>
      <c r="H404" s="12">
        <f t="shared" si="26"/>
        <v>0</v>
      </c>
      <c r="I404">
        <f t="shared" si="25"/>
        <v>1</v>
      </c>
    </row>
    <row r="405" spans="2:9" x14ac:dyDescent="0.3">
      <c r="B405" s="12">
        <f>VLOOKUP(C405,'Raw Data'!$A$1:$I$417,9,FALSE)</f>
        <v>0</v>
      </c>
      <c r="C405">
        <v>441</v>
      </c>
      <c r="D405">
        <f>COUNTIF(Replication!$B$2:$ML$100,C405)</f>
        <v>0</v>
      </c>
      <c r="E405" s="26">
        <f t="shared" si="24"/>
        <v>0</v>
      </c>
      <c r="F405" s="1">
        <f>VLOOKUP(C405,'Raw Data'!$A$1:$L$417,2,FALSE)</f>
        <v>9.6380365224874538</v>
      </c>
      <c r="G405" s="84">
        <f t="shared" si="27"/>
        <v>5.9520893577135761</v>
      </c>
      <c r="H405" s="12">
        <f t="shared" si="26"/>
        <v>0</v>
      </c>
      <c r="I405">
        <f t="shared" si="25"/>
        <v>1</v>
      </c>
    </row>
    <row r="406" spans="2:9" x14ac:dyDescent="0.3">
      <c r="B406" s="12">
        <f>VLOOKUP(C406,'Raw Data'!$A$1:$I$417,9,FALSE)</f>
        <v>0</v>
      </c>
      <c r="C406">
        <v>431</v>
      </c>
      <c r="D406">
        <f>COUNTIF(Replication!$B$2:$ML$100,C406)</f>
        <v>0</v>
      </c>
      <c r="E406" s="26">
        <f t="shared" si="24"/>
        <v>0</v>
      </c>
      <c r="F406" s="1">
        <f>VLOOKUP(C406,'Raw Data'!$A$1:$L$417,2,FALSE)</f>
        <v>8.9647730460119526</v>
      </c>
      <c r="G406" s="84">
        <f t="shared" si="27"/>
        <v>5.9520893577135761</v>
      </c>
      <c r="H406" s="12">
        <f t="shared" si="26"/>
        <v>0</v>
      </c>
      <c r="I406">
        <f t="shared" si="25"/>
        <v>1</v>
      </c>
    </row>
    <row r="407" spans="2:9" x14ac:dyDescent="0.3">
      <c r="B407" s="12">
        <f>VLOOKUP(C407,'Raw Data'!$A$1:$I$417,9,FALSE)</f>
        <v>0</v>
      </c>
      <c r="C407">
        <v>117</v>
      </c>
      <c r="D407">
        <f>COUNTIF(Replication!$B$2:$ML$100,C407)</f>
        <v>0</v>
      </c>
      <c r="E407" s="26">
        <f t="shared" si="24"/>
        <v>0</v>
      </c>
      <c r="F407" s="1">
        <f>VLOOKUP(C407,'Raw Data'!$A$1:$L$417,2,FALSE)</f>
        <v>9.9147964946269234</v>
      </c>
      <c r="G407" s="84">
        <f t="shared" si="27"/>
        <v>5.9520893577135761</v>
      </c>
      <c r="H407" s="12">
        <f t="shared" si="26"/>
        <v>0</v>
      </c>
      <c r="I407">
        <f t="shared" si="25"/>
        <v>1</v>
      </c>
    </row>
    <row r="408" spans="2:9" x14ac:dyDescent="0.3">
      <c r="B408" s="12">
        <f>VLOOKUP(C408,'Raw Data'!$A$1:$I$417,9,FALSE)</f>
        <v>0</v>
      </c>
      <c r="C408">
        <v>386</v>
      </c>
      <c r="D408">
        <f>COUNTIF(Replication!$B$2:$ML$100,C408)</f>
        <v>0</v>
      </c>
      <c r="E408" s="26">
        <f t="shared" si="24"/>
        <v>0</v>
      </c>
      <c r="F408" s="1">
        <f>VLOOKUP(C408,'Raw Data'!$A$1:$L$417,2,FALSE)</f>
        <v>6.6649267657293212</v>
      </c>
      <c r="G408" s="84">
        <f t="shared" si="27"/>
        <v>5.9520893577135761</v>
      </c>
      <c r="H408" s="12">
        <f t="shared" si="26"/>
        <v>0</v>
      </c>
      <c r="I408">
        <f t="shared" si="25"/>
        <v>1</v>
      </c>
    </row>
    <row r="409" spans="2:9" x14ac:dyDescent="0.3">
      <c r="B409" s="12">
        <f>VLOOKUP(C409,'Raw Data'!$A$1:$I$417,9,FALSE)</f>
        <v>0</v>
      </c>
      <c r="C409">
        <v>266</v>
      </c>
      <c r="D409">
        <f>COUNTIF(Replication!$B$2:$ML$100,C409)</f>
        <v>0</v>
      </c>
      <c r="E409" s="26">
        <f t="shared" si="24"/>
        <v>0</v>
      </c>
      <c r="F409" s="1">
        <f>VLOOKUP(C409,'Raw Data'!$A$1:$L$417,2,FALSE)</f>
        <v>8.7261062006002135</v>
      </c>
      <c r="G409" s="84">
        <f t="shared" si="27"/>
        <v>5.9520893577135761</v>
      </c>
      <c r="H409" s="12">
        <f t="shared" si="26"/>
        <v>0</v>
      </c>
      <c r="I409">
        <f t="shared" si="25"/>
        <v>1</v>
      </c>
    </row>
    <row r="410" spans="2:9" x14ac:dyDescent="0.3">
      <c r="B410" s="12">
        <f>VLOOKUP(C410,'Raw Data'!$A$1:$I$417,9,FALSE)</f>
        <v>1</v>
      </c>
      <c r="C410">
        <v>387</v>
      </c>
      <c r="D410">
        <f>COUNTIF(Replication!$B$2:$ML$100,C410)</f>
        <v>0</v>
      </c>
      <c r="E410" s="26">
        <f t="shared" si="24"/>
        <v>0</v>
      </c>
      <c r="F410" s="1">
        <f>VLOOKUP(C410,'Raw Data'!$A$1:$L$417,2,FALSE)</f>
        <v>3.2750028386886876</v>
      </c>
      <c r="G410" s="84">
        <f t="shared" si="27"/>
        <v>2.6770865190248885</v>
      </c>
      <c r="H410" s="12">
        <f t="shared" si="26"/>
        <v>1</v>
      </c>
      <c r="I410">
        <f t="shared" si="25"/>
        <v>1</v>
      </c>
    </row>
    <row r="411" spans="2:9" x14ac:dyDescent="0.3">
      <c r="B411" s="12">
        <f>VLOOKUP(C411,'Raw Data'!$A$1:$I$417,9,FALSE)</f>
        <v>0</v>
      </c>
      <c r="C411">
        <v>666</v>
      </c>
      <c r="D411">
        <f>COUNTIF(Replication!$B$2:$ML$100,C411)</f>
        <v>0</v>
      </c>
      <c r="E411" s="26">
        <f t="shared" si="24"/>
        <v>0</v>
      </c>
      <c r="F411" s="1">
        <f>VLOOKUP(C411,'Raw Data'!$A$1:$L$417,2,FALSE)</f>
        <v>4.820234794182813</v>
      </c>
      <c r="G411" s="84">
        <f t="shared" si="27"/>
        <v>2.6770865190248885</v>
      </c>
      <c r="H411" s="12">
        <f t="shared" si="26"/>
        <v>0</v>
      </c>
      <c r="I411">
        <f t="shared" si="25"/>
        <v>1</v>
      </c>
    </row>
    <row r="412" spans="2:9" x14ac:dyDescent="0.3">
      <c r="B412" s="12">
        <f>VLOOKUP(C412,'Raw Data'!$A$1:$I$417,9,FALSE)</f>
        <v>0</v>
      </c>
      <c r="C412">
        <v>592</v>
      </c>
      <c r="D412">
        <f>COUNTIF(Replication!$B$2:$ML$100,C412)</f>
        <v>0</v>
      </c>
      <c r="E412" s="26">
        <f t="shared" si="24"/>
        <v>0</v>
      </c>
      <c r="F412" s="1">
        <f>VLOOKUP(C412,'Raw Data'!$A$1:$L$417,2,FALSE)</f>
        <v>3.1448978560422081</v>
      </c>
      <c r="G412" s="84">
        <f t="shared" si="27"/>
        <v>2.6770865190248885</v>
      </c>
      <c r="H412" s="12">
        <f t="shared" si="26"/>
        <v>0</v>
      </c>
      <c r="I412">
        <f t="shared" si="25"/>
        <v>1</v>
      </c>
    </row>
    <row r="413" spans="2:9" x14ac:dyDescent="0.3">
      <c r="B413" s="12">
        <f>VLOOKUP(C413,'Raw Data'!$A$1:$I$417,9,FALSE)</f>
        <v>0</v>
      </c>
      <c r="C413">
        <v>820</v>
      </c>
      <c r="D413">
        <f>COUNTIF(Replication!$B$2:$ML$100,C413)</f>
        <v>0</v>
      </c>
      <c r="E413" s="26">
        <f t="shared" si="24"/>
        <v>0</v>
      </c>
      <c r="F413" s="1">
        <f>VLOOKUP(C413,'Raw Data'!$A$1:$L$417,2,FALSE)</f>
        <v>2.8667342608148338</v>
      </c>
      <c r="G413" s="84">
        <f t="shared" si="27"/>
        <v>2.6770865190248885</v>
      </c>
      <c r="H413" s="12">
        <f t="shared" si="26"/>
        <v>0</v>
      </c>
      <c r="I413">
        <f t="shared" si="25"/>
        <v>1</v>
      </c>
    </row>
    <row r="414" spans="2:9" x14ac:dyDescent="0.3">
      <c r="B414" s="12">
        <f>VLOOKUP(C414,'Raw Data'!$A$1:$I$417,9,FALSE)</f>
        <v>0</v>
      </c>
      <c r="C414">
        <v>685</v>
      </c>
      <c r="D414">
        <f>COUNTIF(Replication!$B$2:$ML$100,C414)</f>
        <v>0</v>
      </c>
      <c r="E414" s="26">
        <f t="shared" si="24"/>
        <v>0</v>
      </c>
      <c r="F414" s="1">
        <f>VLOOKUP(C414,'Raw Data'!$A$1:$L$417,2,FALSE)</f>
        <v>6.3549319708390017</v>
      </c>
      <c r="G414" s="84">
        <f t="shared" si="27"/>
        <v>2.6770865190248885</v>
      </c>
      <c r="H414" s="12">
        <f t="shared" si="26"/>
        <v>0</v>
      </c>
      <c r="I414">
        <f t="shared" si="25"/>
        <v>1</v>
      </c>
    </row>
    <row r="415" spans="2:9" x14ac:dyDescent="0.3">
      <c r="B415" s="12">
        <f>VLOOKUP(C415,'Raw Data'!$A$1:$I$417,9,FALSE)</f>
        <v>0</v>
      </c>
      <c r="C415">
        <v>1065</v>
      </c>
      <c r="D415">
        <f>COUNTIF(Replication!$B$2:$ML$100,C415)</f>
        <v>0</v>
      </c>
      <c r="E415" s="26">
        <f t="shared" si="24"/>
        <v>0</v>
      </c>
      <c r="F415" s="1">
        <f>VLOOKUP(C415,'Raw Data'!$A$1:$L$417,2,FALSE)</f>
        <v>4.5046233603596777</v>
      </c>
      <c r="G415" s="84">
        <f t="shared" si="27"/>
        <v>2.6770865190248885</v>
      </c>
      <c r="H415" s="12">
        <f t="shared" si="26"/>
        <v>0</v>
      </c>
      <c r="I415">
        <f t="shared" si="25"/>
        <v>1</v>
      </c>
    </row>
    <row r="416" spans="2:9" x14ac:dyDescent="0.3">
      <c r="B416" s="12">
        <f>VLOOKUP(C416,'Raw Data'!$A$1:$I$417,9,FALSE)</f>
        <v>0</v>
      </c>
      <c r="C416">
        <v>336</v>
      </c>
      <c r="I416">
        <f t="shared" si="25"/>
        <v>1</v>
      </c>
    </row>
  </sheetData>
  <sortState xmlns:xlrd2="http://schemas.microsoft.com/office/spreadsheetml/2017/richdata2" ref="B2:I416">
    <sortCondition descending="1" ref="D1:D416"/>
  </sortState>
  <conditionalFormatting sqref="G1:G1048576">
    <cfRule type="cellIs" dxfId="1" priority="2" operator="lessThan">
      <formula>0</formula>
    </cfRule>
  </conditionalFormatting>
  <conditionalFormatting sqref="G2:G41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981B-3EC8-402E-BB0F-DB769B1DAF0D}">
  <sheetPr codeName="Sheet11"/>
  <dimension ref="A1"/>
  <sheetViews>
    <sheetView workbookViewId="0"/>
  </sheetViews>
  <sheetFormatPr defaultRowHeight="14.4" x14ac:dyDescent="0.3"/>
  <cols>
    <col min="1" max="1" width="8.33203125" customWidth="1"/>
    <col min="2" max="2" width="8.886718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1"/>
  <sheetViews>
    <sheetView workbookViewId="0">
      <selection activeCell="M8" sqref="M8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2" max="12" width="35.6640625" bestFit="1" customWidth="1"/>
    <col min="13" max="13" width="12.21875" customWidth="1"/>
  </cols>
  <sheetData>
    <row r="1" spans="1:13" x14ac:dyDescent="0.3">
      <c r="A1" s="4" t="s">
        <v>0</v>
      </c>
      <c r="B1" s="5" t="s">
        <v>1</v>
      </c>
      <c r="C1" s="6" t="s">
        <v>2</v>
      </c>
      <c r="D1" s="4" t="s">
        <v>3</v>
      </c>
      <c r="E1" s="4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L1" s="15" t="s">
        <v>13</v>
      </c>
      <c r="M1" s="4"/>
    </row>
    <row r="2" spans="1:13" x14ac:dyDescent="0.3">
      <c r="A2">
        <v>35</v>
      </c>
      <c r="B2" s="3">
        <v>0.43645018317542084</v>
      </c>
      <c r="C2" s="2">
        <v>78.177645639745492</v>
      </c>
      <c r="D2" s="1">
        <v>2.746872613905055</v>
      </c>
      <c r="E2" s="1">
        <f>0.25*C2</f>
        <v>19.544411409936373</v>
      </c>
      <c r="F2" s="9">
        <f>25*ROUND(D2,0)</f>
        <v>75</v>
      </c>
      <c r="G2" s="12">
        <v>1</v>
      </c>
      <c r="H2" s="30">
        <f>F2-E2</f>
        <v>55.455588590063627</v>
      </c>
      <c r="I2" s="31">
        <f>H2/B2</f>
        <v>127.06052311994233</v>
      </c>
      <c r="J2" s="32">
        <f>50-B2</f>
        <v>49.563549816824576</v>
      </c>
      <c r="L2" s="13"/>
    </row>
    <row r="3" spans="1:13" x14ac:dyDescent="0.3">
      <c r="A3">
        <v>91</v>
      </c>
      <c r="B3" s="3">
        <v>0.33735976863779937</v>
      </c>
      <c r="C3" s="2">
        <v>47.435302492539634</v>
      </c>
      <c r="D3" s="1">
        <v>1.403178780418642</v>
      </c>
      <c r="E3" s="1">
        <f t="shared" ref="E3:E31" si="0">0.25*C3</f>
        <v>11.858825623134909</v>
      </c>
      <c r="F3" s="9">
        <f t="shared" ref="F3:F31" si="1">25*ROUND(D3,0)</f>
        <v>25</v>
      </c>
      <c r="G3" s="12">
        <v>1</v>
      </c>
      <c r="H3" s="30">
        <f t="shared" ref="H3:H31" si="2">F3-E3</f>
        <v>13.141174376865091</v>
      </c>
      <c r="I3" s="31">
        <f t="shared" ref="I3:I31" si="3">H3/B3</f>
        <v>38.952997952088033</v>
      </c>
      <c r="J3" s="32">
        <f>J2-B3</f>
        <v>49.22619004818678</v>
      </c>
      <c r="L3" s="10" t="s">
        <v>8</v>
      </c>
      <c r="M3" s="14">
        <f>SUMPRODUCT(G2:G31,E2:E31)</f>
        <v>210.38643199401238</v>
      </c>
    </row>
    <row r="4" spans="1:13" x14ac:dyDescent="0.3">
      <c r="A4">
        <v>207</v>
      </c>
      <c r="B4" s="3">
        <v>0.53226354816753751</v>
      </c>
      <c r="C4" s="2">
        <v>36.389595342580009</v>
      </c>
      <c r="D4" s="1">
        <v>0.55340951299649488</v>
      </c>
      <c r="E4" s="1">
        <f t="shared" si="0"/>
        <v>9.0973988356450022</v>
      </c>
      <c r="F4" s="9">
        <f t="shared" si="1"/>
        <v>25</v>
      </c>
      <c r="G4" s="12">
        <v>1</v>
      </c>
      <c r="H4" s="30">
        <f t="shared" si="2"/>
        <v>15.902601164354998</v>
      </c>
      <c r="I4" s="31">
        <f t="shared" si="3"/>
        <v>29.877306494318539</v>
      </c>
      <c r="J4" s="32">
        <f t="shared" ref="J4:J31" si="4">J3-B4</f>
        <v>48.693926500019245</v>
      </c>
      <c r="L4" s="10" t="s">
        <v>9</v>
      </c>
      <c r="M4" s="14">
        <f>SUM(F2:F31)-SUMPRODUCT(F2:F31,G2:G31)</f>
        <v>450</v>
      </c>
    </row>
    <row r="5" spans="1:13" x14ac:dyDescent="0.3">
      <c r="A5">
        <v>570</v>
      </c>
      <c r="B5" s="3">
        <v>4.641911641886189</v>
      </c>
      <c r="C5" s="2">
        <v>0.7361126155005504</v>
      </c>
      <c r="D5" s="1">
        <v>1.9311091598096972</v>
      </c>
      <c r="E5" s="1">
        <f t="shared" si="0"/>
        <v>0.1840281538751376</v>
      </c>
      <c r="F5" s="9">
        <f t="shared" si="1"/>
        <v>50</v>
      </c>
      <c r="G5" s="12">
        <v>1</v>
      </c>
      <c r="H5" s="30">
        <f t="shared" si="2"/>
        <v>49.81597184612486</v>
      </c>
      <c r="I5" s="31">
        <f t="shared" si="3"/>
        <v>10.731779423936363</v>
      </c>
      <c r="J5" s="32">
        <f t="shared" si="4"/>
        <v>44.052014858133056</v>
      </c>
      <c r="L5" s="10" t="s">
        <v>6</v>
      </c>
      <c r="M5" s="16">
        <f>SUM(M3:M4)</f>
        <v>660.38643199401236</v>
      </c>
    </row>
    <row r="6" spans="1:13" x14ac:dyDescent="0.3">
      <c r="A6">
        <v>631</v>
      </c>
      <c r="B6" s="3">
        <v>9.4227545758652536</v>
      </c>
      <c r="C6" s="2">
        <v>0.40188261642927214</v>
      </c>
      <c r="D6" s="1">
        <v>2.0276600868965624</v>
      </c>
      <c r="E6" s="1">
        <f t="shared" si="0"/>
        <v>0.10047065410731804</v>
      </c>
      <c r="F6" s="9">
        <f t="shared" si="1"/>
        <v>50</v>
      </c>
      <c r="G6" s="12">
        <v>0</v>
      </c>
      <c r="H6" s="30">
        <f t="shared" si="2"/>
        <v>49.899529345892681</v>
      </c>
      <c r="I6" s="31">
        <f t="shared" si="3"/>
        <v>5.2956414118756356</v>
      </c>
      <c r="J6" s="32">
        <f t="shared" si="4"/>
        <v>34.629260282267801</v>
      </c>
      <c r="L6" s="10" t="s">
        <v>12</v>
      </c>
      <c r="M6" s="10">
        <f>COUNTIF(G2:G31,"&gt;0")</f>
        <v>16</v>
      </c>
    </row>
    <row r="7" spans="1:13" x14ac:dyDescent="0.3">
      <c r="A7">
        <v>697</v>
      </c>
      <c r="B7" s="3">
        <v>9.5989039155543345</v>
      </c>
      <c r="C7" s="2">
        <v>0.17494846771503036</v>
      </c>
      <c r="D7" s="1">
        <v>2.6995400017259548</v>
      </c>
      <c r="E7" s="1">
        <f t="shared" si="0"/>
        <v>4.3737116928757591E-2</v>
      </c>
      <c r="F7" s="9">
        <f t="shared" si="1"/>
        <v>75</v>
      </c>
      <c r="G7" s="12">
        <v>1</v>
      </c>
      <c r="H7" s="30">
        <f t="shared" si="2"/>
        <v>74.956262883071247</v>
      </c>
      <c r="I7" s="31">
        <f t="shared" si="3"/>
        <v>7.8088356277439139</v>
      </c>
      <c r="J7" s="32">
        <f t="shared" si="4"/>
        <v>25.030356366713466</v>
      </c>
      <c r="L7" s="10" t="s">
        <v>10</v>
      </c>
      <c r="M7" s="17">
        <f>SUMPRODUCT(B2:B31,G2:G31)</f>
        <v>49.959763833196313</v>
      </c>
    </row>
    <row r="8" spans="1:13" x14ac:dyDescent="0.3">
      <c r="A8">
        <v>707</v>
      </c>
      <c r="B8" s="3">
        <v>0.42070180467416507</v>
      </c>
      <c r="C8" s="2">
        <v>90.364466751957792</v>
      </c>
      <c r="D8" s="1">
        <v>0.68573498692666646</v>
      </c>
      <c r="E8" s="1">
        <f t="shared" si="0"/>
        <v>22.591116687989448</v>
      </c>
      <c r="F8" s="9">
        <f t="shared" si="1"/>
        <v>25</v>
      </c>
      <c r="G8" s="12">
        <v>0</v>
      </c>
      <c r="H8" s="30">
        <f t="shared" si="2"/>
        <v>2.4088833120105519</v>
      </c>
      <c r="I8" s="31">
        <f t="shared" si="3"/>
        <v>5.7258687394418004</v>
      </c>
      <c r="J8" s="32">
        <f t="shared" si="4"/>
        <v>24.609654562039299</v>
      </c>
      <c r="L8" s="10" t="s">
        <v>16</v>
      </c>
      <c r="M8" s="22">
        <f>(SUMPRODUCT(G2:G31,D2:D31)/SUM(D2:D31))</f>
        <v>0.69597820422836876</v>
      </c>
    </row>
    <row r="9" spans="1:13" x14ac:dyDescent="0.3">
      <c r="A9">
        <v>755</v>
      </c>
      <c r="B9" s="3">
        <v>0.53430713571528288</v>
      </c>
      <c r="C9" s="2">
        <v>88.099969932523493</v>
      </c>
      <c r="D9" s="1">
        <v>1.2079509469533682</v>
      </c>
      <c r="E9" s="1">
        <f t="shared" si="0"/>
        <v>22.024992483130873</v>
      </c>
      <c r="F9" s="9">
        <f t="shared" si="1"/>
        <v>25</v>
      </c>
      <c r="G9" s="12">
        <v>1</v>
      </c>
      <c r="H9" s="30">
        <f t="shared" si="2"/>
        <v>2.9750075168691268</v>
      </c>
      <c r="I9" s="31">
        <f t="shared" si="3"/>
        <v>5.5679726472049662</v>
      </c>
      <c r="J9" s="35">
        <f t="shared" si="4"/>
        <v>24.075347426324015</v>
      </c>
      <c r="L9" s="10" t="s">
        <v>36</v>
      </c>
      <c r="M9" s="36">
        <f>SUM(I1:I13)</f>
        <v>247.36561058011284</v>
      </c>
    </row>
    <row r="10" spans="1:13" x14ac:dyDescent="0.3">
      <c r="A10">
        <v>762</v>
      </c>
      <c r="B10" s="3">
        <v>0.45024089787638277</v>
      </c>
      <c r="C10" s="2">
        <v>99.337194752892017</v>
      </c>
      <c r="D10" s="1">
        <v>1.2038968510307821</v>
      </c>
      <c r="E10" s="1">
        <f t="shared" si="0"/>
        <v>24.834298688223004</v>
      </c>
      <c r="F10" s="9">
        <f t="shared" si="1"/>
        <v>25</v>
      </c>
      <c r="G10" s="12">
        <v>0</v>
      </c>
      <c r="H10" s="30">
        <f t="shared" si="2"/>
        <v>0.16570131177699565</v>
      </c>
      <c r="I10" s="31">
        <f t="shared" si="3"/>
        <v>0.36802812129805734</v>
      </c>
      <c r="J10" s="35">
        <f t="shared" si="4"/>
        <v>23.625106528447631</v>
      </c>
      <c r="L10" s="10" t="s">
        <v>40</v>
      </c>
      <c r="M10" s="22">
        <f>M9/717.77</f>
        <v>0.34463074603300897</v>
      </c>
    </row>
    <row r="11" spans="1:13" x14ac:dyDescent="0.3">
      <c r="A11">
        <v>790</v>
      </c>
      <c r="B11" s="3">
        <v>7.8201937950803906</v>
      </c>
      <c r="C11" s="2">
        <v>3.3189732381488923E-2</v>
      </c>
      <c r="D11" s="1">
        <v>1.8528444424142394</v>
      </c>
      <c r="E11" s="1">
        <f t="shared" si="0"/>
        <v>8.2974330953722308E-3</v>
      </c>
      <c r="F11" s="9">
        <f t="shared" si="1"/>
        <v>50</v>
      </c>
      <c r="G11" s="12">
        <v>0</v>
      </c>
      <c r="H11" s="30">
        <f t="shared" si="2"/>
        <v>49.991702566904628</v>
      </c>
      <c r="I11" s="31">
        <f t="shared" si="3"/>
        <v>6.3926424174237129</v>
      </c>
      <c r="J11" s="35">
        <f t="shared" si="4"/>
        <v>15.804912733367241</v>
      </c>
      <c r="L11" s="3"/>
    </row>
    <row r="12" spans="1:13" x14ac:dyDescent="0.3">
      <c r="A12">
        <v>802</v>
      </c>
      <c r="B12" s="3">
        <v>7.1043214039770586</v>
      </c>
      <c r="C12" s="2">
        <v>0.39843641945495056</v>
      </c>
      <c r="D12" s="1">
        <v>1.3545336572317539</v>
      </c>
      <c r="E12" s="1">
        <f t="shared" si="0"/>
        <v>9.9609104863737641E-2</v>
      </c>
      <c r="F12" s="9">
        <f t="shared" si="1"/>
        <v>25</v>
      </c>
      <c r="G12" s="12">
        <v>0</v>
      </c>
      <c r="H12" s="30">
        <f t="shared" si="2"/>
        <v>24.900390895136262</v>
      </c>
      <c r="I12" s="31">
        <f t="shared" si="3"/>
        <v>3.5049640182659552</v>
      </c>
      <c r="J12" s="35">
        <f t="shared" si="4"/>
        <v>8.700591329390182</v>
      </c>
    </row>
    <row r="13" spans="1:13" x14ac:dyDescent="0.3">
      <c r="A13">
        <v>836</v>
      </c>
      <c r="B13" s="3">
        <v>8.2176486062281029</v>
      </c>
      <c r="C13" s="2">
        <v>0.17799302280316898</v>
      </c>
      <c r="D13" s="1">
        <v>1.7590900459121823</v>
      </c>
      <c r="E13" s="1">
        <f t="shared" si="0"/>
        <v>4.4498255700792244E-2</v>
      </c>
      <c r="F13" s="9">
        <f t="shared" si="1"/>
        <v>50</v>
      </c>
      <c r="G13" s="12">
        <v>0</v>
      </c>
      <c r="H13" s="30">
        <f t="shared" si="2"/>
        <v>49.955501744299205</v>
      </c>
      <c r="I13" s="31">
        <f t="shared" si="3"/>
        <v>6.0790506065735466</v>
      </c>
      <c r="J13" s="35">
        <f t="shared" si="4"/>
        <v>0.48294272316207909</v>
      </c>
    </row>
    <row r="14" spans="1:13" x14ac:dyDescent="0.3">
      <c r="A14">
        <v>872</v>
      </c>
      <c r="B14" s="3">
        <v>5.8911859065317298</v>
      </c>
      <c r="C14" s="2">
        <v>0.32542690615354752</v>
      </c>
      <c r="D14" s="1">
        <v>0.92378802779970148</v>
      </c>
      <c r="E14" s="1">
        <f t="shared" si="0"/>
        <v>8.1356726538386881E-2</v>
      </c>
      <c r="F14" s="9">
        <f t="shared" si="1"/>
        <v>25</v>
      </c>
      <c r="G14" s="12">
        <v>0</v>
      </c>
      <c r="H14" s="30">
        <f t="shared" si="2"/>
        <v>24.918643273461612</v>
      </c>
      <c r="I14" s="31">
        <f t="shared" si="3"/>
        <v>4.2298178446267647</v>
      </c>
      <c r="J14" s="34">
        <f t="shared" si="4"/>
        <v>-5.4082431833696507</v>
      </c>
    </row>
    <row r="15" spans="1:13" x14ac:dyDescent="0.3">
      <c r="A15">
        <v>954</v>
      </c>
      <c r="B15" s="3">
        <v>3.5213995169796286</v>
      </c>
      <c r="C15" s="2">
        <v>4.1259991134545704E-2</v>
      </c>
      <c r="D15" s="1">
        <v>0.25512942873062083</v>
      </c>
      <c r="E15" s="1">
        <f t="shared" si="0"/>
        <v>1.0314997783636426E-2</v>
      </c>
      <c r="F15" s="9">
        <f>25</f>
        <v>25</v>
      </c>
      <c r="G15" s="12">
        <v>0</v>
      </c>
      <c r="H15" s="30">
        <f t="shared" si="2"/>
        <v>24.989685002216362</v>
      </c>
      <c r="I15" s="31">
        <f t="shared" si="3"/>
        <v>7.0965208240985076</v>
      </c>
      <c r="J15" s="34">
        <f t="shared" si="4"/>
        <v>-8.9296427003492802</v>
      </c>
    </row>
    <row r="16" spans="1:13" x14ac:dyDescent="0.3">
      <c r="A16">
        <v>962</v>
      </c>
      <c r="B16" s="3">
        <v>0.3621252484718851</v>
      </c>
      <c r="C16" s="2">
        <v>95.408128218027827</v>
      </c>
      <c r="D16" s="1">
        <v>0.61690368932313355</v>
      </c>
      <c r="E16" s="1">
        <f t="shared" si="0"/>
        <v>23.852032054506957</v>
      </c>
      <c r="F16" s="9">
        <f t="shared" si="1"/>
        <v>25</v>
      </c>
      <c r="G16" s="12">
        <v>0</v>
      </c>
      <c r="H16" s="30">
        <f t="shared" si="2"/>
        <v>1.1479679454930434</v>
      </c>
      <c r="I16" s="31">
        <f t="shared" si="3"/>
        <v>3.1700853512349609</v>
      </c>
      <c r="J16" s="34">
        <f t="shared" si="4"/>
        <v>-9.2917679488211657</v>
      </c>
    </row>
    <row r="17" spans="1:10" x14ac:dyDescent="0.3">
      <c r="A17">
        <v>971</v>
      </c>
      <c r="B17" s="3">
        <v>0.33898337185350957</v>
      </c>
      <c r="C17" s="2">
        <v>91.732859570614224</v>
      </c>
      <c r="D17" s="1">
        <v>0.64675650793850092</v>
      </c>
      <c r="E17" s="1">
        <f t="shared" si="0"/>
        <v>22.933214892653556</v>
      </c>
      <c r="F17" s="9">
        <f t="shared" si="1"/>
        <v>25</v>
      </c>
      <c r="G17" s="12">
        <v>0</v>
      </c>
      <c r="H17" s="30">
        <f t="shared" si="2"/>
        <v>2.0667851073464441</v>
      </c>
      <c r="I17" s="31">
        <f t="shared" si="3"/>
        <v>6.0970102929992613</v>
      </c>
      <c r="J17" s="34">
        <f t="shared" si="4"/>
        <v>-9.6307513206746762</v>
      </c>
    </row>
    <row r="18" spans="1:10" x14ac:dyDescent="0.3">
      <c r="A18">
        <v>982</v>
      </c>
      <c r="B18" s="3">
        <v>0.33735976863779937</v>
      </c>
      <c r="C18" s="2">
        <v>57.704951339070263</v>
      </c>
      <c r="D18" s="1">
        <v>2.9035709185058072</v>
      </c>
      <c r="E18" s="1">
        <f t="shared" si="0"/>
        <v>14.426237834767566</v>
      </c>
      <c r="F18" s="9">
        <f t="shared" si="1"/>
        <v>75</v>
      </c>
      <c r="G18" s="12">
        <v>1</v>
      </c>
      <c r="H18" s="30">
        <f t="shared" si="2"/>
        <v>60.573762165232438</v>
      </c>
      <c r="I18" s="31">
        <f t="shared" si="3"/>
        <v>179.55241791224501</v>
      </c>
      <c r="J18" s="34">
        <f t="shared" si="4"/>
        <v>-9.968111089312476</v>
      </c>
    </row>
    <row r="19" spans="1:10" x14ac:dyDescent="0.3">
      <c r="A19">
        <v>1014</v>
      </c>
      <c r="B19" s="3">
        <v>9.0506776562361004</v>
      </c>
      <c r="C19" s="2">
        <v>0.71198952660367354</v>
      </c>
      <c r="D19" s="1">
        <v>2.3017811631630205</v>
      </c>
      <c r="E19" s="1">
        <f t="shared" si="0"/>
        <v>0.17799738165091838</v>
      </c>
      <c r="F19" s="9">
        <f t="shared" si="1"/>
        <v>50</v>
      </c>
      <c r="G19" s="12">
        <v>0</v>
      </c>
      <c r="H19" s="30">
        <f t="shared" si="2"/>
        <v>49.822002618349082</v>
      </c>
      <c r="I19" s="31">
        <f t="shared" si="3"/>
        <v>5.5047814661723935</v>
      </c>
      <c r="J19" s="34">
        <f t="shared" si="4"/>
        <v>-19.018788745548576</v>
      </c>
    </row>
    <row r="20" spans="1:10" x14ac:dyDescent="0.3">
      <c r="A20">
        <v>1035</v>
      </c>
      <c r="B20" s="3">
        <v>6.5297033608495365</v>
      </c>
      <c r="C20" s="2">
        <v>2.054150321596504E-2</v>
      </c>
      <c r="D20" s="1">
        <v>1.3756516629534754</v>
      </c>
      <c r="E20" s="1">
        <f t="shared" si="0"/>
        <v>5.13537580399126E-3</v>
      </c>
      <c r="F20" s="9">
        <f t="shared" si="1"/>
        <v>25</v>
      </c>
      <c r="G20" s="12">
        <v>0</v>
      </c>
      <c r="H20" s="30">
        <f t="shared" si="2"/>
        <v>24.994864624196008</v>
      </c>
      <c r="I20" s="31">
        <f t="shared" si="3"/>
        <v>3.8278713814258314</v>
      </c>
      <c r="J20" s="34">
        <f t="shared" si="4"/>
        <v>-25.548492106398115</v>
      </c>
    </row>
    <row r="21" spans="1:10" x14ac:dyDescent="0.3">
      <c r="A21">
        <v>1044</v>
      </c>
      <c r="B21" s="3">
        <v>0.5610562758446358</v>
      </c>
      <c r="C21" s="2">
        <v>84.301423961499964</v>
      </c>
      <c r="D21" s="1">
        <v>2.6492622052295749</v>
      </c>
      <c r="E21" s="1">
        <f t="shared" si="0"/>
        <v>21.075355990374991</v>
      </c>
      <c r="F21" s="9">
        <f t="shared" si="1"/>
        <v>75</v>
      </c>
      <c r="G21" s="12">
        <v>1</v>
      </c>
      <c r="H21" s="30">
        <f t="shared" si="2"/>
        <v>53.924644009625013</v>
      </c>
      <c r="I21" s="31">
        <f t="shared" si="3"/>
        <v>96.112718690196928</v>
      </c>
      <c r="J21" s="34">
        <f t="shared" si="4"/>
        <v>-26.10954838224275</v>
      </c>
    </row>
    <row r="22" spans="1:10" x14ac:dyDescent="0.3">
      <c r="A22">
        <v>1091</v>
      </c>
      <c r="B22" s="3">
        <v>0.92553085588797601</v>
      </c>
      <c r="C22" s="2">
        <v>88.661022343278077</v>
      </c>
      <c r="D22" s="1">
        <v>2.66143771994926</v>
      </c>
      <c r="E22" s="1">
        <f t="shared" si="0"/>
        <v>22.165255585819519</v>
      </c>
      <c r="F22" s="9">
        <f t="shared" si="1"/>
        <v>75</v>
      </c>
      <c r="G22" s="12">
        <v>1</v>
      </c>
      <c r="H22" s="30">
        <f t="shared" si="2"/>
        <v>52.834744414180477</v>
      </c>
      <c r="I22" s="31">
        <f t="shared" si="3"/>
        <v>57.085881122233992</v>
      </c>
      <c r="J22" s="34">
        <f t="shared" si="4"/>
        <v>-27.035079238130727</v>
      </c>
    </row>
    <row r="23" spans="1:10" x14ac:dyDescent="0.3">
      <c r="A23">
        <v>1094</v>
      </c>
      <c r="B23" s="3">
        <v>3.441588237306096</v>
      </c>
      <c r="C23" s="2">
        <v>66.340574915676257</v>
      </c>
      <c r="D23" s="1">
        <v>2.4948461086784777</v>
      </c>
      <c r="E23" s="1">
        <f t="shared" si="0"/>
        <v>16.585143728919064</v>
      </c>
      <c r="F23" s="9">
        <f t="shared" si="1"/>
        <v>50</v>
      </c>
      <c r="G23" s="12">
        <v>1</v>
      </c>
      <c r="H23" s="30">
        <f t="shared" si="2"/>
        <v>33.414856271080936</v>
      </c>
      <c r="I23" s="31">
        <f t="shared" si="3"/>
        <v>9.7091383300509015</v>
      </c>
      <c r="J23" s="34">
        <f t="shared" si="4"/>
        <v>-30.476667475436823</v>
      </c>
    </row>
    <row r="24" spans="1:10" x14ac:dyDescent="0.3">
      <c r="A24">
        <v>1097</v>
      </c>
      <c r="B24" s="3">
        <v>4.3030294604863446</v>
      </c>
      <c r="C24" s="2">
        <v>99.222808457063948</v>
      </c>
      <c r="D24" s="1">
        <v>2.8395750199815346</v>
      </c>
      <c r="E24" s="1">
        <f t="shared" si="0"/>
        <v>24.805702114265987</v>
      </c>
      <c r="F24" s="9">
        <f t="shared" si="1"/>
        <v>75</v>
      </c>
      <c r="G24" s="12">
        <v>1</v>
      </c>
      <c r="H24" s="30">
        <f t="shared" si="2"/>
        <v>50.194297885734017</v>
      </c>
      <c r="I24" s="31">
        <f t="shared" si="3"/>
        <v>11.664874327878961</v>
      </c>
      <c r="J24" s="34">
        <f t="shared" si="4"/>
        <v>-34.77969693592317</v>
      </c>
    </row>
    <row r="25" spans="1:10" x14ac:dyDescent="0.3">
      <c r="A25">
        <v>1098</v>
      </c>
      <c r="B25" s="3">
        <v>0.69534260741033416</v>
      </c>
      <c r="C25" s="2">
        <v>48.204808004424237</v>
      </c>
      <c r="D25" s="1">
        <v>0.31486619023461765</v>
      </c>
      <c r="E25" s="1">
        <f t="shared" si="0"/>
        <v>12.051202001106059</v>
      </c>
      <c r="F25" s="9">
        <v>25</v>
      </c>
      <c r="G25" s="12">
        <v>0</v>
      </c>
      <c r="H25" s="30">
        <f t="shared" si="2"/>
        <v>12.948797998893941</v>
      </c>
      <c r="I25" s="31">
        <f t="shared" si="3"/>
        <v>18.622184029710439</v>
      </c>
      <c r="J25" s="34">
        <f t="shared" si="4"/>
        <v>-35.475039543333502</v>
      </c>
    </row>
    <row r="26" spans="1:10" x14ac:dyDescent="0.3">
      <c r="A26">
        <v>1100</v>
      </c>
      <c r="B26" s="3">
        <v>6.6708003843085297</v>
      </c>
      <c r="C26" s="2">
        <v>9.6869700740117146</v>
      </c>
      <c r="D26" s="1">
        <v>3.2266163247432469</v>
      </c>
      <c r="E26" s="1">
        <f t="shared" si="0"/>
        <v>2.4217425185029287</v>
      </c>
      <c r="F26" s="9">
        <f t="shared" si="1"/>
        <v>75</v>
      </c>
      <c r="G26" s="12">
        <v>1</v>
      </c>
      <c r="H26" s="30">
        <f t="shared" si="2"/>
        <v>72.578257481497076</v>
      </c>
      <c r="I26" s="31">
        <f t="shared" si="3"/>
        <v>10.879992399745637</v>
      </c>
      <c r="J26" s="34">
        <f t="shared" si="4"/>
        <v>-42.145839927642029</v>
      </c>
    </row>
    <row r="27" spans="1:10" x14ac:dyDescent="0.3">
      <c r="A27">
        <v>1101</v>
      </c>
      <c r="B27" s="3">
        <v>3.7797107747075431</v>
      </c>
      <c r="C27" s="2">
        <v>72.776842359512912</v>
      </c>
      <c r="D27" s="1">
        <v>2.7091732189573881</v>
      </c>
      <c r="E27" s="1">
        <f t="shared" si="0"/>
        <v>18.194210589878228</v>
      </c>
      <c r="F27" s="9">
        <f t="shared" si="1"/>
        <v>75</v>
      </c>
      <c r="G27" s="12">
        <v>1</v>
      </c>
      <c r="H27" s="30">
        <f t="shared" si="2"/>
        <v>56.805789410121776</v>
      </c>
      <c r="I27" s="31">
        <f t="shared" si="3"/>
        <v>15.029136565222283</v>
      </c>
      <c r="J27" s="34">
        <f t="shared" si="4"/>
        <v>-45.925550702349575</v>
      </c>
    </row>
    <row r="28" spans="1:10" x14ac:dyDescent="0.3">
      <c r="A28">
        <v>1104</v>
      </c>
      <c r="B28" s="3">
        <v>2.4110866230520589</v>
      </c>
      <c r="C28" s="2">
        <v>87.68549569993786</v>
      </c>
      <c r="D28" s="1">
        <v>1.2292350199888231</v>
      </c>
      <c r="E28" s="1">
        <f t="shared" si="0"/>
        <v>21.921373924984465</v>
      </c>
      <c r="F28" s="9">
        <f t="shared" si="1"/>
        <v>25</v>
      </c>
      <c r="G28" s="12">
        <v>0</v>
      </c>
      <c r="H28" s="30">
        <f t="shared" si="2"/>
        <v>3.078626075015535</v>
      </c>
      <c r="I28" s="31">
        <f t="shared" si="3"/>
        <v>1.2768624924468601</v>
      </c>
      <c r="J28" s="34">
        <f t="shared" si="4"/>
        <v>-48.336637325401632</v>
      </c>
    </row>
    <row r="29" spans="1:10" x14ac:dyDescent="0.3">
      <c r="A29">
        <v>1106</v>
      </c>
      <c r="B29" s="3">
        <v>2.9859893627222291</v>
      </c>
      <c r="C29" s="2">
        <v>82.198983453072742</v>
      </c>
      <c r="D29" s="1">
        <v>2.8706130768340863</v>
      </c>
      <c r="E29" s="1">
        <f t="shared" si="0"/>
        <v>20.549745863268186</v>
      </c>
      <c r="F29" s="9">
        <f t="shared" si="1"/>
        <v>75</v>
      </c>
      <c r="G29" s="12">
        <v>1</v>
      </c>
      <c r="H29" s="30">
        <f t="shared" si="2"/>
        <v>54.450254136731814</v>
      </c>
      <c r="I29" s="31">
        <f t="shared" si="3"/>
        <v>18.235247190261688</v>
      </c>
      <c r="J29" s="34">
        <f t="shared" si="4"/>
        <v>-51.322626688123862</v>
      </c>
    </row>
    <row r="30" spans="1:10" x14ac:dyDescent="0.3">
      <c r="A30">
        <v>1109</v>
      </c>
      <c r="B30" s="3">
        <v>7.3420481814718386</v>
      </c>
      <c r="C30" s="2">
        <v>0.8047632978806174</v>
      </c>
      <c r="D30" s="1">
        <v>2.5271032160928897</v>
      </c>
      <c r="E30" s="1">
        <f t="shared" si="0"/>
        <v>0.20119082447015435</v>
      </c>
      <c r="F30" s="9">
        <f t="shared" si="1"/>
        <v>75</v>
      </c>
      <c r="G30" s="12">
        <v>1</v>
      </c>
      <c r="H30" s="30">
        <f t="shared" si="2"/>
        <v>74.79880917552984</v>
      </c>
      <c r="I30" s="31">
        <f t="shared" si="3"/>
        <v>10.187730634115118</v>
      </c>
      <c r="J30" s="34">
        <f t="shared" si="4"/>
        <v>-58.6646748695957</v>
      </c>
    </row>
    <row r="31" spans="1:10" x14ac:dyDescent="0.3">
      <c r="A31">
        <v>1115</v>
      </c>
      <c r="B31" s="3">
        <v>3.531454338686749</v>
      </c>
      <c r="C31" s="2">
        <v>28.833813284378884</v>
      </c>
      <c r="D31" s="1">
        <v>2.4577556619557446</v>
      </c>
      <c r="E31" s="1">
        <f t="shared" si="0"/>
        <v>7.208453321094721</v>
      </c>
      <c r="F31" s="9">
        <f t="shared" si="1"/>
        <v>50</v>
      </c>
      <c r="G31" s="12">
        <v>1</v>
      </c>
      <c r="H31" s="30">
        <f t="shared" si="2"/>
        <v>42.791546678905277</v>
      </c>
      <c r="I31" s="31">
        <f t="shared" si="3"/>
        <v>12.117258946300939</v>
      </c>
      <c r="J31" s="34">
        <f t="shared" si="4"/>
        <v>-62.19612920828245</v>
      </c>
    </row>
  </sheetData>
  <sortState xmlns:xlrd2="http://schemas.microsoft.com/office/spreadsheetml/2017/richdata2" ref="A2:D31">
    <sortCondition ref="A1"/>
  </sortState>
  <pageMargins left="0.7" right="0.7" top="0.75" bottom="0.75" header="0.3" footer="0.3"/>
  <ignoredErrors>
    <ignoredError sqref="F1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63A36-A9F5-4DF9-9282-29D2141E81C4}">
  <sheetPr codeName="Sheet3"/>
  <dimension ref="A1:M31"/>
  <sheetViews>
    <sheetView workbookViewId="0">
      <selection activeCell="L10" sqref="L10:M11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style="9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1" max="11" width="6.5546875" customWidth="1"/>
    <col min="12" max="12" width="45.77734375" customWidth="1"/>
    <col min="13" max="14" width="18.6640625" bestFit="1" customWidth="1"/>
  </cols>
  <sheetData>
    <row r="1" spans="1:13" x14ac:dyDescent="0.3">
      <c r="A1" s="4" t="s">
        <v>0</v>
      </c>
      <c r="B1" s="5" t="s">
        <v>1</v>
      </c>
      <c r="C1" s="6" t="s">
        <v>2</v>
      </c>
      <c r="D1" s="4" t="s">
        <v>3</v>
      </c>
      <c r="E1" s="6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K1" s="4"/>
      <c r="L1" s="15" t="s">
        <v>24</v>
      </c>
      <c r="M1" s="4"/>
    </row>
    <row r="2" spans="1:13" x14ac:dyDescent="0.3">
      <c r="A2">
        <v>91</v>
      </c>
      <c r="B2" s="3">
        <v>0.33735976863779937</v>
      </c>
      <c r="C2" s="2">
        <v>47.435302492539634</v>
      </c>
      <c r="D2" s="1">
        <v>1.403178780418642</v>
      </c>
      <c r="E2" s="9">
        <f t="shared" ref="E2:E31" si="0">0.25*C2</f>
        <v>11.858825623134909</v>
      </c>
      <c r="F2" s="9">
        <f t="shared" ref="F2:F11" si="1">25*ROUND(D2,0)</f>
        <v>25</v>
      </c>
      <c r="G2" s="12">
        <v>1</v>
      </c>
      <c r="H2" s="30">
        <f>F2-E2</f>
        <v>13.141174376865091</v>
      </c>
      <c r="I2" s="31">
        <f>H2/B2</f>
        <v>38.952997952088033</v>
      </c>
      <c r="J2" s="32">
        <f>50-B2</f>
        <v>49.662640231362204</v>
      </c>
      <c r="K2" s="27"/>
    </row>
    <row r="3" spans="1:13" x14ac:dyDescent="0.3">
      <c r="A3">
        <v>982</v>
      </c>
      <c r="B3" s="3">
        <v>0.33735976863779937</v>
      </c>
      <c r="C3" s="2">
        <v>57.704951339070263</v>
      </c>
      <c r="D3" s="1">
        <v>2.9035709185058072</v>
      </c>
      <c r="E3" s="9">
        <f t="shared" si="0"/>
        <v>14.426237834767566</v>
      </c>
      <c r="F3" s="9">
        <f t="shared" si="1"/>
        <v>75</v>
      </c>
      <c r="G3" s="12">
        <v>1</v>
      </c>
      <c r="H3" s="30">
        <f t="shared" ref="H3:H31" si="2">F3-E3</f>
        <v>60.573762165232438</v>
      </c>
      <c r="I3" s="31">
        <f t="shared" ref="I3:I31" si="3">H3/B3</f>
        <v>179.55241791224501</v>
      </c>
      <c r="J3" s="32">
        <f>J2-B3</f>
        <v>49.325280462724407</v>
      </c>
      <c r="K3" s="27"/>
      <c r="L3" s="10" t="s">
        <v>8</v>
      </c>
      <c r="M3" s="14">
        <f>SUMPRODUCT(G2:G31,E2:E31)</f>
        <v>335.99980688370016</v>
      </c>
    </row>
    <row r="4" spans="1:13" x14ac:dyDescent="0.3">
      <c r="A4">
        <v>971</v>
      </c>
      <c r="B4" s="3">
        <v>0.33898337185350957</v>
      </c>
      <c r="C4" s="2">
        <v>91.732859570614224</v>
      </c>
      <c r="D4" s="1">
        <v>0.64675650793850092</v>
      </c>
      <c r="E4" s="9">
        <f t="shared" si="0"/>
        <v>22.933214892653556</v>
      </c>
      <c r="F4" s="9">
        <f t="shared" si="1"/>
        <v>25</v>
      </c>
      <c r="G4" s="12">
        <v>1</v>
      </c>
      <c r="H4" s="30">
        <f t="shared" si="2"/>
        <v>2.0667851073464441</v>
      </c>
      <c r="I4" s="31">
        <f t="shared" si="3"/>
        <v>6.0970102929992613</v>
      </c>
      <c r="J4" s="32">
        <f t="shared" ref="J4:J31" si="4">J3-B4</f>
        <v>48.986297090870899</v>
      </c>
      <c r="K4" s="27"/>
      <c r="L4" s="10" t="s">
        <v>9</v>
      </c>
      <c r="M4" s="14">
        <f>SUM(F2:F31)-SUMPRODUCT(F2:F31,G2:G31)</f>
        <v>450</v>
      </c>
    </row>
    <row r="5" spans="1:13" x14ac:dyDescent="0.3">
      <c r="A5">
        <v>962</v>
      </c>
      <c r="B5" s="3">
        <v>0.3621252484718851</v>
      </c>
      <c r="C5" s="2">
        <v>95.408128218027827</v>
      </c>
      <c r="D5" s="1">
        <v>0.61690368932313355</v>
      </c>
      <c r="E5" s="9">
        <f t="shared" si="0"/>
        <v>23.852032054506957</v>
      </c>
      <c r="F5" s="9">
        <f t="shared" si="1"/>
        <v>25</v>
      </c>
      <c r="G5" s="12">
        <v>1</v>
      </c>
      <c r="H5" s="30">
        <f t="shared" si="2"/>
        <v>1.1479679454930434</v>
      </c>
      <c r="I5" s="31">
        <f t="shared" si="3"/>
        <v>3.1700853512349609</v>
      </c>
      <c r="J5" s="32">
        <f t="shared" si="4"/>
        <v>48.624171842399015</v>
      </c>
      <c r="K5" s="27"/>
      <c r="L5" s="10" t="s">
        <v>6</v>
      </c>
      <c r="M5" s="16">
        <f>SUM(M3:M4)</f>
        <v>785.9998068837001</v>
      </c>
    </row>
    <row r="6" spans="1:13" x14ac:dyDescent="0.3">
      <c r="A6">
        <v>707</v>
      </c>
      <c r="B6" s="3">
        <v>0.42070180467416507</v>
      </c>
      <c r="C6" s="2">
        <v>90.364466751957792</v>
      </c>
      <c r="D6" s="1">
        <v>0.68573498692666646</v>
      </c>
      <c r="E6" s="9">
        <f t="shared" si="0"/>
        <v>22.591116687989448</v>
      </c>
      <c r="F6" s="9">
        <f t="shared" si="1"/>
        <v>25</v>
      </c>
      <c r="G6" s="12">
        <v>1</v>
      </c>
      <c r="H6" s="30">
        <f t="shared" si="2"/>
        <v>2.4088833120105519</v>
      </c>
      <c r="I6" s="31">
        <f t="shared" si="3"/>
        <v>5.7258687394418004</v>
      </c>
      <c r="J6" s="32">
        <f t="shared" si="4"/>
        <v>48.203470037724848</v>
      </c>
      <c r="K6" s="27"/>
      <c r="L6" s="10" t="s">
        <v>12</v>
      </c>
      <c r="M6" s="10">
        <f>COUNTIF(G2:G31,"&gt;0")</f>
        <v>22</v>
      </c>
    </row>
    <row r="7" spans="1:13" x14ac:dyDescent="0.3">
      <c r="A7">
        <v>35</v>
      </c>
      <c r="B7" s="3">
        <v>0.43645018317542084</v>
      </c>
      <c r="C7" s="2">
        <v>78.177645639745492</v>
      </c>
      <c r="D7" s="1">
        <v>2.746872613905055</v>
      </c>
      <c r="E7" s="9">
        <f t="shared" si="0"/>
        <v>19.544411409936373</v>
      </c>
      <c r="F7" s="9">
        <f t="shared" si="1"/>
        <v>75</v>
      </c>
      <c r="G7" s="12">
        <v>1</v>
      </c>
      <c r="H7" s="30">
        <f t="shared" si="2"/>
        <v>55.455588590063627</v>
      </c>
      <c r="I7" s="31">
        <f t="shared" si="3"/>
        <v>127.06052311994233</v>
      </c>
      <c r="J7" s="32">
        <f t="shared" si="4"/>
        <v>47.767019854549424</v>
      </c>
      <c r="K7" s="27"/>
      <c r="L7" s="10" t="s">
        <v>10</v>
      </c>
      <c r="M7" s="17">
        <f>SUMPRODUCT(B2:B31,G2:G31)</f>
        <v>46.968780689560838</v>
      </c>
    </row>
    <row r="8" spans="1:13" x14ac:dyDescent="0.3">
      <c r="A8">
        <v>762</v>
      </c>
      <c r="B8" s="3">
        <v>0.45024089787638277</v>
      </c>
      <c r="C8" s="2">
        <v>99.337194752892017</v>
      </c>
      <c r="D8" s="1">
        <v>1.2038968510307821</v>
      </c>
      <c r="E8" s="9">
        <f t="shared" si="0"/>
        <v>24.834298688223004</v>
      </c>
      <c r="F8" s="9">
        <f t="shared" si="1"/>
        <v>25</v>
      </c>
      <c r="G8" s="12">
        <v>1</v>
      </c>
      <c r="H8" s="30">
        <f t="shared" si="2"/>
        <v>0.16570131177699565</v>
      </c>
      <c r="I8" s="31">
        <f t="shared" si="3"/>
        <v>0.36802812129805734</v>
      </c>
      <c r="J8" s="32">
        <f t="shared" si="4"/>
        <v>47.316778956673041</v>
      </c>
      <c r="K8" s="27"/>
      <c r="L8" s="10" t="s">
        <v>16</v>
      </c>
      <c r="M8" s="22">
        <f>(SUMPRODUCT(G2:G31,D2:D31)/SUM(D2:D31))</f>
        <v>0.67390766062704388</v>
      </c>
    </row>
    <row r="9" spans="1:13" x14ac:dyDescent="0.3">
      <c r="A9">
        <v>207</v>
      </c>
      <c r="B9" s="3">
        <v>0.53226354816753751</v>
      </c>
      <c r="C9" s="2">
        <v>36.389595342580009</v>
      </c>
      <c r="D9" s="1">
        <v>0.55340951299649488</v>
      </c>
      <c r="E9" s="9">
        <f t="shared" si="0"/>
        <v>9.0973988356450022</v>
      </c>
      <c r="F9" s="9">
        <f t="shared" si="1"/>
        <v>25</v>
      </c>
      <c r="G9" s="12">
        <v>1</v>
      </c>
      <c r="H9" s="30">
        <f t="shared" si="2"/>
        <v>15.902601164354998</v>
      </c>
      <c r="I9" s="31">
        <f t="shared" si="3"/>
        <v>29.877306494318539</v>
      </c>
      <c r="J9" s="35">
        <f t="shared" si="4"/>
        <v>46.784515408505506</v>
      </c>
      <c r="K9" s="27"/>
      <c r="L9" s="10" t="s">
        <v>17</v>
      </c>
      <c r="M9" s="23">
        <f>(M5-660.39)/660.39</f>
        <v>0.19020549506155471</v>
      </c>
    </row>
    <row r="10" spans="1:13" x14ac:dyDescent="0.3">
      <c r="A10">
        <v>755</v>
      </c>
      <c r="B10" s="3">
        <v>0.53430713571528288</v>
      </c>
      <c r="C10" s="2">
        <v>88.099969932523493</v>
      </c>
      <c r="D10" s="1">
        <v>1.2079509469533682</v>
      </c>
      <c r="E10" s="9">
        <f t="shared" si="0"/>
        <v>22.024992483130873</v>
      </c>
      <c r="F10" s="9">
        <f t="shared" si="1"/>
        <v>25</v>
      </c>
      <c r="G10" s="12">
        <v>1</v>
      </c>
      <c r="H10" s="30">
        <f t="shared" si="2"/>
        <v>2.9750075168691268</v>
      </c>
      <c r="I10" s="31">
        <f t="shared" si="3"/>
        <v>5.5679726472049662</v>
      </c>
      <c r="J10" s="35">
        <f t="shared" si="4"/>
        <v>46.250208272790225</v>
      </c>
      <c r="K10" s="27"/>
      <c r="L10" s="10" t="s">
        <v>36</v>
      </c>
      <c r="M10" s="36">
        <f>SUM(I2:I23)</f>
        <v>662.11150179916331</v>
      </c>
    </row>
    <row r="11" spans="1:13" x14ac:dyDescent="0.3">
      <c r="A11">
        <v>1044</v>
      </c>
      <c r="B11" s="3">
        <v>0.5610562758446358</v>
      </c>
      <c r="C11" s="2">
        <v>84.301423961499964</v>
      </c>
      <c r="D11" s="1">
        <v>2.6492622052295749</v>
      </c>
      <c r="E11" s="9">
        <f t="shared" si="0"/>
        <v>21.075355990374991</v>
      </c>
      <c r="F11" s="9">
        <f t="shared" si="1"/>
        <v>75</v>
      </c>
      <c r="G11" s="12">
        <v>1</v>
      </c>
      <c r="H11" s="30">
        <f t="shared" si="2"/>
        <v>53.924644009625013</v>
      </c>
      <c r="I11" s="31">
        <f t="shared" si="3"/>
        <v>96.112718690196928</v>
      </c>
      <c r="J11" s="35">
        <f t="shared" si="4"/>
        <v>45.68915199694559</v>
      </c>
      <c r="K11" s="27"/>
      <c r="L11" s="10" t="s">
        <v>40</v>
      </c>
      <c r="M11" s="22">
        <f>M10/717.77</f>
        <v>0.92245636039283241</v>
      </c>
    </row>
    <row r="12" spans="1:13" x14ac:dyDescent="0.3">
      <c r="A12">
        <v>1098</v>
      </c>
      <c r="B12" s="3">
        <v>0.69534260741033416</v>
      </c>
      <c r="C12" s="2">
        <v>48.204808004424237</v>
      </c>
      <c r="D12" s="1">
        <v>0.31486619023461765</v>
      </c>
      <c r="E12" s="9">
        <f t="shared" si="0"/>
        <v>12.051202001106059</v>
      </c>
      <c r="F12" s="9">
        <v>25</v>
      </c>
      <c r="G12" s="12">
        <v>1</v>
      </c>
      <c r="H12" s="30">
        <f t="shared" si="2"/>
        <v>12.948797998893941</v>
      </c>
      <c r="I12" s="31">
        <f t="shared" si="3"/>
        <v>18.622184029710439</v>
      </c>
      <c r="J12" s="35">
        <f t="shared" si="4"/>
        <v>44.993809389535258</v>
      </c>
      <c r="K12" s="27"/>
    </row>
    <row r="13" spans="1:13" x14ac:dyDescent="0.3">
      <c r="A13">
        <v>1091</v>
      </c>
      <c r="B13" s="3">
        <v>0.92553085588797601</v>
      </c>
      <c r="C13" s="2">
        <v>88.661022343278077</v>
      </c>
      <c r="D13" s="1">
        <v>2.66143771994926</v>
      </c>
      <c r="E13" s="9">
        <f t="shared" si="0"/>
        <v>22.165255585819519</v>
      </c>
      <c r="F13" s="9">
        <f>25*ROUND(D13,0)</f>
        <v>75</v>
      </c>
      <c r="G13" s="12">
        <v>1</v>
      </c>
      <c r="H13" s="30">
        <f t="shared" si="2"/>
        <v>52.834744414180477</v>
      </c>
      <c r="I13" s="31">
        <f t="shared" si="3"/>
        <v>57.085881122233992</v>
      </c>
      <c r="J13" s="35">
        <f t="shared" si="4"/>
        <v>44.06827853364728</v>
      </c>
      <c r="K13" s="27"/>
    </row>
    <row r="14" spans="1:13" x14ac:dyDescent="0.3">
      <c r="A14">
        <v>1104</v>
      </c>
      <c r="B14" s="3">
        <v>2.4110866230520589</v>
      </c>
      <c r="C14" s="2">
        <v>87.68549569993786</v>
      </c>
      <c r="D14" s="1">
        <v>1.2292350199888231</v>
      </c>
      <c r="E14" s="9">
        <f t="shared" si="0"/>
        <v>21.921373924984465</v>
      </c>
      <c r="F14" s="9">
        <f>25*ROUND(D14,0)</f>
        <v>25</v>
      </c>
      <c r="G14" s="12">
        <v>1</v>
      </c>
      <c r="H14" s="30">
        <f t="shared" si="2"/>
        <v>3.078626075015535</v>
      </c>
      <c r="I14" s="31">
        <f t="shared" si="3"/>
        <v>1.2768624924468601</v>
      </c>
      <c r="J14" s="35">
        <f t="shared" si="4"/>
        <v>41.657191910595223</v>
      </c>
      <c r="K14" s="27"/>
    </row>
    <row r="15" spans="1:13" x14ac:dyDescent="0.3">
      <c r="A15">
        <v>1106</v>
      </c>
      <c r="B15" s="3">
        <v>2.9859893627222291</v>
      </c>
      <c r="C15" s="2">
        <v>82.198983453072742</v>
      </c>
      <c r="D15" s="1">
        <v>2.8706130768340863</v>
      </c>
      <c r="E15" s="9">
        <f t="shared" si="0"/>
        <v>20.549745863268186</v>
      </c>
      <c r="F15" s="9">
        <f>25*ROUND(D15,0)</f>
        <v>75</v>
      </c>
      <c r="G15" s="12">
        <v>1</v>
      </c>
      <c r="H15" s="30">
        <f t="shared" si="2"/>
        <v>54.450254136731814</v>
      </c>
      <c r="I15" s="31">
        <f t="shared" si="3"/>
        <v>18.235247190261688</v>
      </c>
      <c r="J15" s="35">
        <f t="shared" si="4"/>
        <v>38.671202547872994</v>
      </c>
      <c r="K15" s="27"/>
    </row>
    <row r="16" spans="1:13" x14ac:dyDescent="0.3">
      <c r="A16">
        <v>1094</v>
      </c>
      <c r="B16" s="3">
        <v>3.441588237306096</v>
      </c>
      <c r="C16" s="2">
        <v>66.340574915676257</v>
      </c>
      <c r="D16" s="1">
        <v>2.4948461086784777</v>
      </c>
      <c r="E16" s="9">
        <f t="shared" si="0"/>
        <v>16.585143728919064</v>
      </c>
      <c r="F16" s="9">
        <f>25*ROUND(D16,0)</f>
        <v>50</v>
      </c>
      <c r="G16" s="12">
        <v>1</v>
      </c>
      <c r="H16" s="30">
        <f t="shared" si="2"/>
        <v>33.414856271080936</v>
      </c>
      <c r="I16" s="31">
        <f t="shared" si="3"/>
        <v>9.7091383300509015</v>
      </c>
      <c r="J16" s="35">
        <f t="shared" si="4"/>
        <v>35.229614310566902</v>
      </c>
      <c r="K16" s="27"/>
    </row>
    <row r="17" spans="1:11" x14ac:dyDescent="0.3">
      <c r="A17">
        <v>954</v>
      </c>
      <c r="B17" s="3">
        <v>3.5213995169796286</v>
      </c>
      <c r="C17" s="2">
        <v>4.1259991134545704E-2</v>
      </c>
      <c r="D17" s="1">
        <v>0.25512942873062083</v>
      </c>
      <c r="E17" s="9">
        <f t="shared" si="0"/>
        <v>1.0314997783636426E-2</v>
      </c>
      <c r="F17" s="9">
        <f>25</f>
        <v>25</v>
      </c>
      <c r="G17" s="12">
        <v>1</v>
      </c>
      <c r="H17" s="30">
        <f t="shared" si="2"/>
        <v>24.989685002216362</v>
      </c>
      <c r="I17" s="31">
        <f t="shared" si="3"/>
        <v>7.0965208240985076</v>
      </c>
      <c r="J17" s="35">
        <f t="shared" si="4"/>
        <v>31.708214793587274</v>
      </c>
      <c r="K17" s="27"/>
    </row>
    <row r="18" spans="1:11" x14ac:dyDescent="0.3">
      <c r="A18">
        <v>1115</v>
      </c>
      <c r="B18" s="3">
        <v>3.531454338686749</v>
      </c>
      <c r="C18" s="2">
        <v>28.833813284378884</v>
      </c>
      <c r="D18" s="1">
        <v>2.4577556619557446</v>
      </c>
      <c r="E18" s="9">
        <f t="shared" si="0"/>
        <v>7.208453321094721</v>
      </c>
      <c r="F18" s="9">
        <f t="shared" ref="F18:F31" si="5">25*ROUND(D18,0)</f>
        <v>50</v>
      </c>
      <c r="G18" s="12">
        <v>1</v>
      </c>
      <c r="H18" s="30">
        <f t="shared" si="2"/>
        <v>42.791546678905277</v>
      </c>
      <c r="I18" s="31">
        <f t="shared" si="3"/>
        <v>12.117258946300939</v>
      </c>
      <c r="J18" s="35">
        <f t="shared" si="4"/>
        <v>28.176760454900524</v>
      </c>
      <c r="K18" s="27"/>
    </row>
    <row r="19" spans="1:11" x14ac:dyDescent="0.3">
      <c r="A19">
        <v>1101</v>
      </c>
      <c r="B19" s="3">
        <v>3.7797107747075431</v>
      </c>
      <c r="C19" s="2">
        <v>72.776842359512912</v>
      </c>
      <c r="D19" s="1">
        <v>2.7091732189573881</v>
      </c>
      <c r="E19" s="9">
        <f t="shared" si="0"/>
        <v>18.194210589878228</v>
      </c>
      <c r="F19" s="9">
        <f t="shared" si="5"/>
        <v>75</v>
      </c>
      <c r="G19" s="12">
        <v>1</v>
      </c>
      <c r="H19" s="30">
        <f t="shared" si="2"/>
        <v>56.805789410121776</v>
      </c>
      <c r="I19" s="31">
        <f t="shared" si="3"/>
        <v>15.029136565222283</v>
      </c>
      <c r="J19" s="35">
        <f t="shared" si="4"/>
        <v>24.397049680192982</v>
      </c>
      <c r="K19" s="27"/>
    </row>
    <row r="20" spans="1:11" x14ac:dyDescent="0.3">
      <c r="A20">
        <v>1097</v>
      </c>
      <c r="B20" s="3">
        <v>4.3030294604863446</v>
      </c>
      <c r="C20" s="2">
        <v>99.222808457063948</v>
      </c>
      <c r="D20" s="1">
        <v>2.8395750199815346</v>
      </c>
      <c r="E20" s="9">
        <f t="shared" si="0"/>
        <v>24.805702114265987</v>
      </c>
      <c r="F20" s="9">
        <f t="shared" si="5"/>
        <v>75</v>
      </c>
      <c r="G20" s="12">
        <v>1</v>
      </c>
      <c r="H20" s="30">
        <f t="shared" si="2"/>
        <v>50.194297885734017</v>
      </c>
      <c r="I20" s="31">
        <f t="shared" si="3"/>
        <v>11.664874327878961</v>
      </c>
      <c r="J20" s="35">
        <f t="shared" si="4"/>
        <v>20.094020219706636</v>
      </c>
      <c r="K20" s="27"/>
    </row>
    <row r="21" spans="1:11" x14ac:dyDescent="0.3">
      <c r="A21">
        <v>570</v>
      </c>
      <c r="B21" s="3">
        <v>4.641911641886189</v>
      </c>
      <c r="C21" s="2">
        <v>0.7361126155005504</v>
      </c>
      <c r="D21" s="1">
        <v>1.9311091598096972</v>
      </c>
      <c r="E21" s="9">
        <f t="shared" si="0"/>
        <v>0.1840281538751376</v>
      </c>
      <c r="F21" s="9">
        <f t="shared" si="5"/>
        <v>50</v>
      </c>
      <c r="G21" s="12">
        <v>1</v>
      </c>
      <c r="H21" s="30">
        <f t="shared" si="2"/>
        <v>49.81597184612486</v>
      </c>
      <c r="I21" s="31">
        <f t="shared" si="3"/>
        <v>10.731779423936363</v>
      </c>
      <c r="J21" s="35">
        <f t="shared" si="4"/>
        <v>15.452108577820447</v>
      </c>
      <c r="K21" s="27"/>
    </row>
    <row r="22" spans="1:11" x14ac:dyDescent="0.3">
      <c r="A22">
        <v>872</v>
      </c>
      <c r="B22" s="3">
        <v>5.8911859065317298</v>
      </c>
      <c r="C22" s="2">
        <v>0.32542690615354752</v>
      </c>
      <c r="D22" s="1">
        <v>0.92378802779970148</v>
      </c>
      <c r="E22" s="9">
        <f t="shared" si="0"/>
        <v>8.1356726538386881E-2</v>
      </c>
      <c r="F22" s="9">
        <f t="shared" si="5"/>
        <v>25</v>
      </c>
      <c r="G22" s="12">
        <v>1</v>
      </c>
      <c r="H22" s="30">
        <f t="shared" si="2"/>
        <v>24.918643273461612</v>
      </c>
      <c r="I22" s="31">
        <f t="shared" si="3"/>
        <v>4.2298178446267647</v>
      </c>
      <c r="J22" s="35">
        <f t="shared" si="4"/>
        <v>9.5609226712887168</v>
      </c>
      <c r="K22" s="27"/>
    </row>
    <row r="23" spans="1:11" x14ac:dyDescent="0.3">
      <c r="A23">
        <v>1035</v>
      </c>
      <c r="B23" s="3">
        <v>6.5297033608495365</v>
      </c>
      <c r="C23" s="2">
        <v>2.054150321596504E-2</v>
      </c>
      <c r="D23" s="1">
        <v>1.3756516629534754</v>
      </c>
      <c r="E23" s="9">
        <f t="shared" si="0"/>
        <v>5.13537580399126E-3</v>
      </c>
      <c r="F23" s="9">
        <f t="shared" si="5"/>
        <v>25</v>
      </c>
      <c r="G23" s="12">
        <v>1</v>
      </c>
      <c r="H23" s="30">
        <f t="shared" si="2"/>
        <v>24.994864624196008</v>
      </c>
      <c r="I23" s="31">
        <f t="shared" si="3"/>
        <v>3.8278713814258314</v>
      </c>
      <c r="J23" s="35">
        <f t="shared" si="4"/>
        <v>3.0312193104391802</v>
      </c>
      <c r="K23" s="27"/>
    </row>
    <row r="24" spans="1:11" x14ac:dyDescent="0.3">
      <c r="A24">
        <v>1100</v>
      </c>
      <c r="B24" s="3">
        <v>6.6708003843085297</v>
      </c>
      <c r="C24" s="2">
        <v>9.6869700740117146</v>
      </c>
      <c r="D24" s="1">
        <v>3.2266163247432469</v>
      </c>
      <c r="E24" s="9">
        <f t="shared" si="0"/>
        <v>2.4217425185029287</v>
      </c>
      <c r="F24" s="9">
        <f t="shared" si="5"/>
        <v>75</v>
      </c>
      <c r="G24" s="12">
        <v>0</v>
      </c>
      <c r="H24" s="30">
        <f t="shared" si="2"/>
        <v>72.578257481497076</v>
      </c>
      <c r="I24" s="31">
        <f t="shared" si="3"/>
        <v>10.879992399745637</v>
      </c>
      <c r="J24" s="34">
        <f t="shared" si="4"/>
        <v>-3.6395810738693495</v>
      </c>
      <c r="K24" s="27"/>
    </row>
    <row r="25" spans="1:11" x14ac:dyDescent="0.3">
      <c r="A25">
        <v>802</v>
      </c>
      <c r="B25" s="3">
        <v>7.1043214039770586</v>
      </c>
      <c r="C25" s="2">
        <v>0.39843641945495056</v>
      </c>
      <c r="D25" s="1">
        <v>1.3545336572317539</v>
      </c>
      <c r="E25" s="9">
        <f t="shared" si="0"/>
        <v>9.9609104863737641E-2</v>
      </c>
      <c r="F25" s="9">
        <f t="shared" si="5"/>
        <v>25</v>
      </c>
      <c r="G25" s="12">
        <v>0</v>
      </c>
      <c r="H25" s="30">
        <f t="shared" si="2"/>
        <v>24.900390895136262</v>
      </c>
      <c r="I25" s="31">
        <f t="shared" si="3"/>
        <v>3.5049640182659552</v>
      </c>
      <c r="J25" s="34">
        <f t="shared" si="4"/>
        <v>-10.743902477846408</v>
      </c>
      <c r="K25" s="27"/>
    </row>
    <row r="26" spans="1:11" x14ac:dyDescent="0.3">
      <c r="A26">
        <v>1109</v>
      </c>
      <c r="B26" s="3">
        <v>7.3420481814718386</v>
      </c>
      <c r="C26" s="2">
        <v>0.8047632978806174</v>
      </c>
      <c r="D26" s="1">
        <v>2.5271032160928897</v>
      </c>
      <c r="E26" s="9">
        <f t="shared" si="0"/>
        <v>0.20119082447015435</v>
      </c>
      <c r="F26" s="9">
        <f t="shared" si="5"/>
        <v>75</v>
      </c>
      <c r="G26" s="12">
        <v>0</v>
      </c>
      <c r="H26" s="30">
        <f t="shared" si="2"/>
        <v>74.79880917552984</v>
      </c>
      <c r="I26" s="31">
        <f t="shared" si="3"/>
        <v>10.187730634115118</v>
      </c>
      <c r="J26" s="34">
        <f t="shared" si="4"/>
        <v>-18.085950659318247</v>
      </c>
      <c r="K26" s="27"/>
    </row>
    <row r="27" spans="1:11" x14ac:dyDescent="0.3">
      <c r="A27">
        <v>790</v>
      </c>
      <c r="B27" s="3">
        <v>7.8201937950803906</v>
      </c>
      <c r="C27" s="2">
        <v>3.3189732381488923E-2</v>
      </c>
      <c r="D27" s="1">
        <v>1.8528444424142394</v>
      </c>
      <c r="E27" s="9">
        <f t="shared" si="0"/>
        <v>8.2974330953722308E-3</v>
      </c>
      <c r="F27" s="9">
        <f t="shared" si="5"/>
        <v>50</v>
      </c>
      <c r="G27" s="12">
        <v>0</v>
      </c>
      <c r="H27" s="30">
        <f t="shared" si="2"/>
        <v>49.991702566904628</v>
      </c>
      <c r="I27" s="31">
        <f t="shared" si="3"/>
        <v>6.3926424174237129</v>
      </c>
      <c r="J27" s="34">
        <f t="shared" si="4"/>
        <v>-25.906144454398635</v>
      </c>
      <c r="K27" s="27"/>
    </row>
    <row r="28" spans="1:11" x14ac:dyDescent="0.3">
      <c r="A28">
        <v>836</v>
      </c>
      <c r="B28" s="3">
        <v>8.2176486062281029</v>
      </c>
      <c r="C28" s="2">
        <v>0.17799302280316898</v>
      </c>
      <c r="D28" s="1">
        <v>1.7590900459121823</v>
      </c>
      <c r="E28" s="9">
        <f t="shared" si="0"/>
        <v>4.4498255700792244E-2</v>
      </c>
      <c r="F28" s="9">
        <f t="shared" si="5"/>
        <v>50</v>
      </c>
      <c r="G28" s="12">
        <v>0</v>
      </c>
      <c r="H28" s="30">
        <f t="shared" si="2"/>
        <v>49.955501744299205</v>
      </c>
      <c r="I28" s="31">
        <f t="shared" si="3"/>
        <v>6.0790506065735466</v>
      </c>
      <c r="J28" s="34">
        <f t="shared" si="4"/>
        <v>-34.123793060626738</v>
      </c>
      <c r="K28" s="27"/>
    </row>
    <row r="29" spans="1:11" x14ac:dyDescent="0.3">
      <c r="A29">
        <v>1014</v>
      </c>
      <c r="B29" s="3">
        <v>9.0506776562361004</v>
      </c>
      <c r="C29" s="2">
        <v>0.71198952660367354</v>
      </c>
      <c r="D29" s="1">
        <v>2.3017811631630205</v>
      </c>
      <c r="E29" s="9">
        <f t="shared" si="0"/>
        <v>0.17799738165091838</v>
      </c>
      <c r="F29" s="9">
        <f t="shared" si="5"/>
        <v>50</v>
      </c>
      <c r="G29" s="12">
        <v>0</v>
      </c>
      <c r="H29" s="30">
        <f t="shared" si="2"/>
        <v>49.822002618349082</v>
      </c>
      <c r="I29" s="31">
        <f t="shared" si="3"/>
        <v>5.5047814661723935</v>
      </c>
      <c r="J29" s="34">
        <f t="shared" si="4"/>
        <v>-43.174470716862842</v>
      </c>
      <c r="K29" s="27"/>
    </row>
    <row r="30" spans="1:11" x14ac:dyDescent="0.3">
      <c r="A30">
        <v>631</v>
      </c>
      <c r="B30" s="3">
        <v>9.4227545758652536</v>
      </c>
      <c r="C30" s="2">
        <v>0.40188261642927214</v>
      </c>
      <c r="D30" s="1">
        <v>2.0276600868965624</v>
      </c>
      <c r="E30" s="9">
        <f t="shared" si="0"/>
        <v>0.10047065410731804</v>
      </c>
      <c r="F30" s="9">
        <f t="shared" si="5"/>
        <v>50</v>
      </c>
      <c r="G30" s="12">
        <v>0</v>
      </c>
      <c r="H30" s="30">
        <f t="shared" si="2"/>
        <v>49.899529345892681</v>
      </c>
      <c r="I30" s="31">
        <f t="shared" si="3"/>
        <v>5.2956414118756356</v>
      </c>
      <c r="J30" s="34">
        <f t="shared" si="4"/>
        <v>-52.597225292728098</v>
      </c>
      <c r="K30" s="27"/>
    </row>
    <row r="31" spans="1:11" x14ac:dyDescent="0.3">
      <c r="A31">
        <v>697</v>
      </c>
      <c r="B31" s="3">
        <v>9.5989039155543345</v>
      </c>
      <c r="C31" s="2">
        <v>0.17494846771503036</v>
      </c>
      <c r="D31" s="1">
        <v>2.6995400017259548</v>
      </c>
      <c r="E31" s="9">
        <f t="shared" si="0"/>
        <v>4.3737116928757591E-2</v>
      </c>
      <c r="F31" s="9">
        <f t="shared" si="5"/>
        <v>75</v>
      </c>
      <c r="G31" s="12">
        <v>0</v>
      </c>
      <c r="H31" s="30">
        <f t="shared" si="2"/>
        <v>74.956262883071247</v>
      </c>
      <c r="I31" s="31">
        <f t="shared" si="3"/>
        <v>7.8088356277439139</v>
      </c>
      <c r="J31" s="34">
        <f t="shared" si="4"/>
        <v>-62.196129208282429</v>
      </c>
      <c r="K31" s="27"/>
    </row>
  </sheetData>
  <sortState xmlns:xlrd2="http://schemas.microsoft.com/office/spreadsheetml/2017/richdata2" ref="A2:G31">
    <sortCondition ref="B1:B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C8A72-9B83-4D8C-806C-D546B9FB5796}">
  <sheetPr codeName="Sheet4"/>
  <dimension ref="A1:M31"/>
  <sheetViews>
    <sheetView workbookViewId="0">
      <selection activeCell="L11" sqref="L11:M11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2" max="12" width="47.77734375" customWidth="1"/>
    <col min="13" max="13" width="17.33203125" customWidth="1"/>
  </cols>
  <sheetData>
    <row r="1" spans="1:13" x14ac:dyDescent="0.3">
      <c r="A1" s="4" t="s">
        <v>0</v>
      </c>
      <c r="B1" s="5" t="s">
        <v>1</v>
      </c>
      <c r="C1" s="6" t="s">
        <v>2</v>
      </c>
      <c r="D1" s="4" t="s">
        <v>3</v>
      </c>
      <c r="E1" s="4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L1" s="15" t="s">
        <v>25</v>
      </c>
      <c r="M1" s="4"/>
    </row>
    <row r="2" spans="1:13" x14ac:dyDescent="0.3">
      <c r="A2">
        <v>1035</v>
      </c>
      <c r="B2" s="3">
        <v>6.5297033608495365</v>
      </c>
      <c r="C2" s="2">
        <v>2.054150321596504E-2</v>
      </c>
      <c r="D2" s="1">
        <v>1.3756516629534754</v>
      </c>
      <c r="E2" s="1">
        <f t="shared" ref="E2:E31" si="0">0.25*C2</f>
        <v>5.13537580399126E-3</v>
      </c>
      <c r="F2" s="9">
        <f>25*ROUND(D2,0)</f>
        <v>25</v>
      </c>
      <c r="G2" s="12">
        <v>1</v>
      </c>
      <c r="H2" s="30">
        <f>F2-E2</f>
        <v>24.994864624196008</v>
      </c>
      <c r="I2" s="31">
        <f>H2/B2</f>
        <v>3.8278713814258314</v>
      </c>
      <c r="J2" s="32">
        <f>50-B2</f>
        <v>43.470296639150462</v>
      </c>
    </row>
    <row r="3" spans="1:13" x14ac:dyDescent="0.3">
      <c r="A3">
        <v>790</v>
      </c>
      <c r="B3" s="3">
        <v>7.8201937950803906</v>
      </c>
      <c r="C3" s="2">
        <v>3.3189732381488923E-2</v>
      </c>
      <c r="D3" s="1">
        <v>1.8528444424142394</v>
      </c>
      <c r="E3" s="1">
        <f t="shared" si="0"/>
        <v>8.2974330953722308E-3</v>
      </c>
      <c r="F3" s="9">
        <f>25*ROUND(D3,0)</f>
        <v>50</v>
      </c>
      <c r="G3" s="12">
        <v>1</v>
      </c>
      <c r="H3" s="30">
        <f t="shared" ref="H3:H31" si="1">F3-E3</f>
        <v>49.991702566904628</v>
      </c>
      <c r="I3" s="31">
        <f t="shared" ref="I3:I31" si="2">H3/B3</f>
        <v>6.3926424174237129</v>
      </c>
      <c r="J3" s="32">
        <f>J2-B3</f>
        <v>35.650102844070069</v>
      </c>
      <c r="L3" s="10" t="s">
        <v>8</v>
      </c>
      <c r="M3" s="14">
        <f>SUMPRODUCT(G2:G31,E2:E31)</f>
        <v>0.29294901071467427</v>
      </c>
    </row>
    <row r="4" spans="1:13" x14ac:dyDescent="0.3">
      <c r="A4">
        <v>954</v>
      </c>
      <c r="B4" s="3">
        <v>3.5213995169796286</v>
      </c>
      <c r="C4" s="2">
        <v>4.1259991134545704E-2</v>
      </c>
      <c r="D4" s="1">
        <v>0.25512942873062083</v>
      </c>
      <c r="E4" s="1">
        <f t="shared" si="0"/>
        <v>1.0314997783636426E-2</v>
      </c>
      <c r="F4" s="9">
        <f>25</f>
        <v>25</v>
      </c>
      <c r="G4" s="12">
        <v>1</v>
      </c>
      <c r="H4" s="30">
        <f t="shared" si="1"/>
        <v>24.989685002216362</v>
      </c>
      <c r="I4" s="31">
        <f t="shared" si="2"/>
        <v>7.0965208240985076</v>
      </c>
      <c r="J4" s="32">
        <f t="shared" ref="J4:J31" si="3">J3-B4</f>
        <v>32.128703327090442</v>
      </c>
      <c r="L4" s="10" t="s">
        <v>9</v>
      </c>
      <c r="M4" s="14">
        <f>SUM(F2:F31)-SUMPRODUCT(F2:F31,G2:G31)</f>
        <v>1150</v>
      </c>
    </row>
    <row r="5" spans="1:13" x14ac:dyDescent="0.3">
      <c r="A5">
        <v>697</v>
      </c>
      <c r="B5" s="3">
        <v>9.5989039155543345</v>
      </c>
      <c r="C5" s="2">
        <v>0.17494846771503036</v>
      </c>
      <c r="D5" s="1">
        <v>2.6995400017259548</v>
      </c>
      <c r="E5" s="1">
        <f t="shared" si="0"/>
        <v>4.3737116928757591E-2</v>
      </c>
      <c r="F5" s="9">
        <f t="shared" ref="F5:F16" si="4">25*ROUND(D5,0)</f>
        <v>75</v>
      </c>
      <c r="G5" s="12">
        <v>1</v>
      </c>
      <c r="H5" s="30">
        <f t="shared" si="1"/>
        <v>74.956262883071247</v>
      </c>
      <c r="I5" s="31">
        <f t="shared" si="2"/>
        <v>7.8088356277439139</v>
      </c>
      <c r="J5" s="32">
        <f t="shared" si="3"/>
        <v>22.529799411536107</v>
      </c>
      <c r="L5" s="10" t="s">
        <v>6</v>
      </c>
      <c r="M5" s="16">
        <f>SUM(M3:M4)</f>
        <v>1150.2929490107147</v>
      </c>
    </row>
    <row r="6" spans="1:13" x14ac:dyDescent="0.3">
      <c r="A6">
        <v>836</v>
      </c>
      <c r="B6" s="3">
        <v>8.2176486062281029</v>
      </c>
      <c r="C6" s="2">
        <v>0.17799302280316898</v>
      </c>
      <c r="D6" s="1">
        <v>1.7590900459121823</v>
      </c>
      <c r="E6" s="1">
        <f t="shared" si="0"/>
        <v>4.4498255700792244E-2</v>
      </c>
      <c r="F6" s="9">
        <f t="shared" si="4"/>
        <v>50</v>
      </c>
      <c r="G6" s="12">
        <v>1</v>
      </c>
      <c r="H6" s="30">
        <f t="shared" si="1"/>
        <v>49.955501744299205</v>
      </c>
      <c r="I6" s="31">
        <f t="shared" si="2"/>
        <v>6.0790506065735466</v>
      </c>
      <c r="J6" s="32">
        <f t="shared" si="3"/>
        <v>14.312150805308004</v>
      </c>
      <c r="L6" s="10" t="s">
        <v>12</v>
      </c>
      <c r="M6" s="10">
        <f>COUNTIF(G2:G31,"&gt;0")</f>
        <v>7</v>
      </c>
    </row>
    <row r="7" spans="1:13" x14ac:dyDescent="0.3">
      <c r="A7">
        <v>872</v>
      </c>
      <c r="B7" s="3">
        <v>5.8911859065317298</v>
      </c>
      <c r="C7" s="2">
        <v>0.32542690615354752</v>
      </c>
      <c r="D7" s="1">
        <v>0.92378802779970148</v>
      </c>
      <c r="E7" s="1">
        <f t="shared" si="0"/>
        <v>8.1356726538386881E-2</v>
      </c>
      <c r="F7" s="9">
        <f t="shared" si="4"/>
        <v>25</v>
      </c>
      <c r="G7" s="12">
        <v>1</v>
      </c>
      <c r="H7" s="30">
        <f t="shared" si="1"/>
        <v>24.918643273461612</v>
      </c>
      <c r="I7" s="31">
        <f t="shared" si="2"/>
        <v>4.2298178446267647</v>
      </c>
      <c r="J7" s="32">
        <f t="shared" si="3"/>
        <v>8.4209648987762744</v>
      </c>
      <c r="L7" s="10" t="s">
        <v>10</v>
      </c>
      <c r="M7" s="17">
        <f>SUMPRODUCT(B2:B31,G2:G31)</f>
        <v>48.683356505200784</v>
      </c>
    </row>
    <row r="8" spans="1:13" x14ac:dyDescent="0.3">
      <c r="A8">
        <v>802</v>
      </c>
      <c r="B8" s="3">
        <v>7.1043214039770586</v>
      </c>
      <c r="C8" s="2">
        <v>0.39843641945495056</v>
      </c>
      <c r="D8" s="1">
        <v>1.3545336572317539</v>
      </c>
      <c r="E8" s="1">
        <f t="shared" si="0"/>
        <v>9.9609104863737641E-2</v>
      </c>
      <c r="F8" s="9">
        <f t="shared" si="4"/>
        <v>25</v>
      </c>
      <c r="G8" s="12">
        <v>1</v>
      </c>
      <c r="H8" s="30">
        <f t="shared" si="1"/>
        <v>24.900390895136262</v>
      </c>
      <c r="I8" s="31">
        <f t="shared" si="2"/>
        <v>3.5049640182659552</v>
      </c>
      <c r="J8" s="32">
        <f t="shared" si="3"/>
        <v>1.3166434947992158</v>
      </c>
      <c r="L8" s="10" t="s">
        <v>16</v>
      </c>
      <c r="M8" s="22">
        <f>(SUMPRODUCT(G2:G31,D2:D31)/SUM(D2:D31))</f>
        <v>0.1877750987818467</v>
      </c>
    </row>
    <row r="9" spans="1:13" x14ac:dyDescent="0.3">
      <c r="A9">
        <v>631</v>
      </c>
      <c r="B9" s="3">
        <v>9.4227545758652536</v>
      </c>
      <c r="C9" s="2">
        <v>0.40188261642927214</v>
      </c>
      <c r="D9" s="1">
        <v>2.0276600868965624</v>
      </c>
      <c r="E9" s="1">
        <f t="shared" si="0"/>
        <v>0.10047065410731804</v>
      </c>
      <c r="F9" s="9">
        <f t="shared" si="4"/>
        <v>50</v>
      </c>
      <c r="G9" s="12">
        <v>0</v>
      </c>
      <c r="H9" s="30">
        <f t="shared" si="1"/>
        <v>49.899529345892681</v>
      </c>
      <c r="I9" s="31">
        <f t="shared" si="2"/>
        <v>5.2956414118756356</v>
      </c>
      <c r="J9" s="34">
        <f t="shared" si="3"/>
        <v>-8.1061110810660377</v>
      </c>
      <c r="L9" s="10" t="s">
        <v>17</v>
      </c>
      <c r="M9" s="23">
        <f>(M5-660.39)/660.39</f>
        <v>0.74183883615850432</v>
      </c>
    </row>
    <row r="10" spans="1:13" x14ac:dyDescent="0.3">
      <c r="A10">
        <v>1014</v>
      </c>
      <c r="B10" s="3">
        <v>9.0506776562361004</v>
      </c>
      <c r="C10" s="2">
        <v>0.71198952660367354</v>
      </c>
      <c r="D10" s="1">
        <v>2.3017811631630205</v>
      </c>
      <c r="E10" s="1">
        <f t="shared" si="0"/>
        <v>0.17799738165091838</v>
      </c>
      <c r="F10" s="9">
        <f t="shared" si="4"/>
        <v>50</v>
      </c>
      <c r="G10" s="12">
        <v>0</v>
      </c>
      <c r="H10" s="30">
        <f t="shared" si="1"/>
        <v>49.822002618349082</v>
      </c>
      <c r="I10" s="31">
        <f t="shared" si="2"/>
        <v>5.5047814661723935</v>
      </c>
      <c r="J10" s="34">
        <f t="shared" si="3"/>
        <v>-17.156788737302136</v>
      </c>
      <c r="L10" s="10" t="s">
        <v>37</v>
      </c>
      <c r="M10" s="37">
        <f>SUM(I2:I8)</f>
        <v>38.939702720158238</v>
      </c>
    </row>
    <row r="11" spans="1:13" x14ac:dyDescent="0.3">
      <c r="A11">
        <v>570</v>
      </c>
      <c r="B11" s="3">
        <v>4.641911641886189</v>
      </c>
      <c r="C11" s="2">
        <v>0.7361126155005504</v>
      </c>
      <c r="D11" s="1">
        <v>1.9311091598096972</v>
      </c>
      <c r="E11" s="1">
        <f t="shared" si="0"/>
        <v>0.1840281538751376</v>
      </c>
      <c r="F11" s="9">
        <f t="shared" si="4"/>
        <v>50</v>
      </c>
      <c r="G11" s="12">
        <v>0</v>
      </c>
      <c r="H11" s="30">
        <f t="shared" si="1"/>
        <v>49.81597184612486</v>
      </c>
      <c r="I11" s="31">
        <f t="shared" si="2"/>
        <v>10.731779423936363</v>
      </c>
      <c r="J11" s="34">
        <f t="shared" si="3"/>
        <v>-21.798700379188325</v>
      </c>
      <c r="L11" s="10" t="s">
        <v>40</v>
      </c>
      <c r="M11" s="22">
        <f>M10/717.77</f>
        <v>5.4250947685412096E-2</v>
      </c>
    </row>
    <row r="12" spans="1:13" x14ac:dyDescent="0.3">
      <c r="A12">
        <v>1109</v>
      </c>
      <c r="B12" s="3">
        <v>7.3420481814718386</v>
      </c>
      <c r="C12" s="2">
        <v>0.8047632978806174</v>
      </c>
      <c r="D12" s="1">
        <v>2.5271032160928897</v>
      </c>
      <c r="E12" s="1">
        <f t="shared" si="0"/>
        <v>0.20119082447015435</v>
      </c>
      <c r="F12" s="9">
        <f t="shared" si="4"/>
        <v>75</v>
      </c>
      <c r="G12" s="12">
        <v>0</v>
      </c>
      <c r="H12" s="30">
        <f t="shared" si="1"/>
        <v>74.79880917552984</v>
      </c>
      <c r="I12" s="31">
        <f t="shared" si="2"/>
        <v>10.187730634115118</v>
      </c>
      <c r="J12" s="34">
        <f t="shared" si="3"/>
        <v>-29.140748560660164</v>
      </c>
    </row>
    <row r="13" spans="1:13" x14ac:dyDescent="0.3">
      <c r="A13">
        <v>1100</v>
      </c>
      <c r="B13" s="3">
        <v>6.6708003843085297</v>
      </c>
      <c r="C13" s="2">
        <v>9.6869700740117146</v>
      </c>
      <c r="D13" s="1">
        <v>3.2266163247432469</v>
      </c>
      <c r="E13" s="1">
        <f t="shared" si="0"/>
        <v>2.4217425185029287</v>
      </c>
      <c r="F13" s="9">
        <f t="shared" si="4"/>
        <v>75</v>
      </c>
      <c r="G13" s="12">
        <v>0</v>
      </c>
      <c r="H13" s="30">
        <f t="shared" si="1"/>
        <v>72.578257481497076</v>
      </c>
      <c r="I13" s="31">
        <f t="shared" si="2"/>
        <v>10.879992399745637</v>
      </c>
      <c r="J13" s="34">
        <f t="shared" si="3"/>
        <v>-35.811548944968692</v>
      </c>
    </row>
    <row r="14" spans="1:13" x14ac:dyDescent="0.3">
      <c r="A14">
        <v>1115</v>
      </c>
      <c r="B14" s="3">
        <v>3.531454338686749</v>
      </c>
      <c r="C14" s="2">
        <v>28.833813284378884</v>
      </c>
      <c r="D14" s="1">
        <v>2.4577556619557446</v>
      </c>
      <c r="E14" s="1">
        <f t="shared" si="0"/>
        <v>7.208453321094721</v>
      </c>
      <c r="F14" s="9">
        <f t="shared" si="4"/>
        <v>50</v>
      </c>
      <c r="G14" s="12">
        <v>0</v>
      </c>
      <c r="H14" s="30">
        <f t="shared" si="1"/>
        <v>42.791546678905277</v>
      </c>
      <c r="I14" s="31">
        <f t="shared" si="2"/>
        <v>12.117258946300939</v>
      </c>
      <c r="J14" s="34">
        <f t="shared" si="3"/>
        <v>-39.343003283655442</v>
      </c>
    </row>
    <row r="15" spans="1:13" x14ac:dyDescent="0.3">
      <c r="A15">
        <v>207</v>
      </c>
      <c r="B15" s="3">
        <v>0.53226354816753751</v>
      </c>
      <c r="C15" s="2">
        <v>36.389595342580009</v>
      </c>
      <c r="D15" s="1">
        <v>0.55340951299649488</v>
      </c>
      <c r="E15" s="1">
        <f t="shared" si="0"/>
        <v>9.0973988356450022</v>
      </c>
      <c r="F15" s="9">
        <f t="shared" si="4"/>
        <v>25</v>
      </c>
      <c r="G15" s="12">
        <v>0</v>
      </c>
      <c r="H15" s="30">
        <f t="shared" si="1"/>
        <v>15.902601164354998</v>
      </c>
      <c r="I15" s="31">
        <f t="shared" si="2"/>
        <v>29.877306494318539</v>
      </c>
      <c r="J15" s="34">
        <f t="shared" si="3"/>
        <v>-39.875266831822977</v>
      </c>
    </row>
    <row r="16" spans="1:13" x14ac:dyDescent="0.3">
      <c r="A16">
        <v>91</v>
      </c>
      <c r="B16" s="3">
        <v>0.33735976863779937</v>
      </c>
      <c r="C16" s="2">
        <v>47.435302492539634</v>
      </c>
      <c r="D16" s="1">
        <v>1.403178780418642</v>
      </c>
      <c r="E16" s="1">
        <f t="shared" si="0"/>
        <v>11.858825623134909</v>
      </c>
      <c r="F16" s="9">
        <f t="shared" si="4"/>
        <v>25</v>
      </c>
      <c r="G16" s="12">
        <v>0</v>
      </c>
      <c r="H16" s="30">
        <f t="shared" si="1"/>
        <v>13.141174376865091</v>
      </c>
      <c r="I16" s="31">
        <f t="shared" si="2"/>
        <v>38.952997952088033</v>
      </c>
      <c r="J16" s="34">
        <f t="shared" si="3"/>
        <v>-40.212626600460773</v>
      </c>
    </row>
    <row r="17" spans="1:10" x14ac:dyDescent="0.3">
      <c r="A17">
        <v>1098</v>
      </c>
      <c r="B17" s="3">
        <v>0.69534260741033416</v>
      </c>
      <c r="C17" s="2">
        <v>48.204808004424237</v>
      </c>
      <c r="D17" s="1">
        <v>0.31486619023461765</v>
      </c>
      <c r="E17" s="1">
        <f t="shared" si="0"/>
        <v>12.051202001106059</v>
      </c>
      <c r="F17" s="9">
        <v>25</v>
      </c>
      <c r="G17" s="12">
        <v>0</v>
      </c>
      <c r="H17" s="30">
        <f t="shared" si="1"/>
        <v>12.948797998893941</v>
      </c>
      <c r="I17" s="31">
        <f t="shared" si="2"/>
        <v>18.622184029710439</v>
      </c>
      <c r="J17" s="34">
        <f t="shared" si="3"/>
        <v>-40.907969207871105</v>
      </c>
    </row>
    <row r="18" spans="1:10" x14ac:dyDescent="0.3">
      <c r="A18">
        <v>982</v>
      </c>
      <c r="B18" s="3">
        <v>0.33735976863779937</v>
      </c>
      <c r="C18" s="2">
        <v>57.704951339070263</v>
      </c>
      <c r="D18" s="1">
        <v>2.9035709185058072</v>
      </c>
      <c r="E18" s="1">
        <f t="shared" si="0"/>
        <v>14.426237834767566</v>
      </c>
      <c r="F18" s="9">
        <f t="shared" ref="F18:F31" si="5">25*ROUND(D18,0)</f>
        <v>75</v>
      </c>
      <c r="G18" s="12">
        <v>0</v>
      </c>
      <c r="H18" s="30">
        <f t="shared" si="1"/>
        <v>60.573762165232438</v>
      </c>
      <c r="I18" s="31">
        <f t="shared" si="2"/>
        <v>179.55241791224501</v>
      </c>
      <c r="J18" s="34">
        <f t="shared" si="3"/>
        <v>-41.245328976508901</v>
      </c>
    </row>
    <row r="19" spans="1:10" x14ac:dyDescent="0.3">
      <c r="A19">
        <v>1094</v>
      </c>
      <c r="B19" s="3">
        <v>3.441588237306096</v>
      </c>
      <c r="C19" s="2">
        <v>66.340574915676257</v>
      </c>
      <c r="D19" s="1">
        <v>2.4948461086784777</v>
      </c>
      <c r="E19" s="1">
        <f t="shared" si="0"/>
        <v>16.585143728919064</v>
      </c>
      <c r="F19" s="9">
        <f t="shared" si="5"/>
        <v>50</v>
      </c>
      <c r="G19" s="12">
        <v>0</v>
      </c>
      <c r="H19" s="30">
        <f t="shared" si="1"/>
        <v>33.414856271080936</v>
      </c>
      <c r="I19" s="31">
        <f t="shared" si="2"/>
        <v>9.7091383300509015</v>
      </c>
      <c r="J19" s="34">
        <f t="shared" si="3"/>
        <v>-44.686917213814993</v>
      </c>
    </row>
    <row r="20" spans="1:10" x14ac:dyDescent="0.3">
      <c r="A20">
        <v>1101</v>
      </c>
      <c r="B20" s="3">
        <v>3.7797107747075431</v>
      </c>
      <c r="C20" s="2">
        <v>72.776842359512912</v>
      </c>
      <c r="D20" s="1">
        <v>2.7091732189573881</v>
      </c>
      <c r="E20" s="1">
        <f t="shared" si="0"/>
        <v>18.194210589878228</v>
      </c>
      <c r="F20" s="9">
        <f t="shared" si="5"/>
        <v>75</v>
      </c>
      <c r="G20" s="12">
        <v>0</v>
      </c>
      <c r="H20" s="30">
        <f t="shared" si="1"/>
        <v>56.805789410121776</v>
      </c>
      <c r="I20" s="31">
        <f t="shared" si="2"/>
        <v>15.029136565222283</v>
      </c>
      <c r="J20" s="34">
        <f t="shared" si="3"/>
        <v>-48.466627988522539</v>
      </c>
    </row>
    <row r="21" spans="1:10" x14ac:dyDescent="0.3">
      <c r="A21">
        <v>35</v>
      </c>
      <c r="B21" s="3">
        <v>0.43645018317542084</v>
      </c>
      <c r="C21" s="2">
        <v>78.177645639745492</v>
      </c>
      <c r="D21" s="1">
        <v>2.746872613905055</v>
      </c>
      <c r="E21" s="1">
        <f t="shared" si="0"/>
        <v>19.544411409936373</v>
      </c>
      <c r="F21" s="9">
        <f t="shared" si="5"/>
        <v>75</v>
      </c>
      <c r="G21" s="12">
        <v>0</v>
      </c>
      <c r="H21" s="30">
        <f t="shared" si="1"/>
        <v>55.455588590063627</v>
      </c>
      <c r="I21" s="31">
        <f t="shared" si="2"/>
        <v>127.06052311994233</v>
      </c>
      <c r="J21" s="34">
        <f t="shared" si="3"/>
        <v>-48.903078171697963</v>
      </c>
    </row>
    <row r="22" spans="1:10" x14ac:dyDescent="0.3">
      <c r="A22">
        <v>1106</v>
      </c>
      <c r="B22" s="3">
        <v>2.9859893627222291</v>
      </c>
      <c r="C22" s="2">
        <v>82.198983453072742</v>
      </c>
      <c r="D22" s="1">
        <v>2.8706130768340863</v>
      </c>
      <c r="E22" s="1">
        <f t="shared" si="0"/>
        <v>20.549745863268186</v>
      </c>
      <c r="F22" s="9">
        <f t="shared" si="5"/>
        <v>75</v>
      </c>
      <c r="G22" s="12">
        <v>0</v>
      </c>
      <c r="H22" s="30">
        <f t="shared" si="1"/>
        <v>54.450254136731814</v>
      </c>
      <c r="I22" s="31">
        <f t="shared" si="2"/>
        <v>18.235247190261688</v>
      </c>
      <c r="J22" s="34">
        <f t="shared" si="3"/>
        <v>-51.889067534420192</v>
      </c>
    </row>
    <row r="23" spans="1:10" x14ac:dyDescent="0.3">
      <c r="A23">
        <v>1044</v>
      </c>
      <c r="B23" s="3">
        <v>0.5610562758446358</v>
      </c>
      <c r="C23" s="2">
        <v>84.301423961499964</v>
      </c>
      <c r="D23" s="1">
        <v>2.6492622052295749</v>
      </c>
      <c r="E23" s="1">
        <f t="shared" si="0"/>
        <v>21.075355990374991</v>
      </c>
      <c r="F23" s="9">
        <f t="shared" si="5"/>
        <v>75</v>
      </c>
      <c r="G23" s="12">
        <v>0</v>
      </c>
      <c r="H23" s="30">
        <f t="shared" si="1"/>
        <v>53.924644009625013</v>
      </c>
      <c r="I23" s="31">
        <f t="shared" si="2"/>
        <v>96.112718690196928</v>
      </c>
      <c r="J23" s="34">
        <f t="shared" si="3"/>
        <v>-52.450123810264827</v>
      </c>
    </row>
    <row r="24" spans="1:10" x14ac:dyDescent="0.3">
      <c r="A24">
        <v>1104</v>
      </c>
      <c r="B24" s="3">
        <v>2.4110866230520589</v>
      </c>
      <c r="C24" s="2">
        <v>87.68549569993786</v>
      </c>
      <c r="D24" s="1">
        <v>1.2292350199888231</v>
      </c>
      <c r="E24" s="1">
        <f t="shared" si="0"/>
        <v>21.921373924984465</v>
      </c>
      <c r="F24" s="9">
        <f t="shared" si="5"/>
        <v>25</v>
      </c>
      <c r="G24" s="12">
        <v>0</v>
      </c>
      <c r="H24" s="30">
        <f t="shared" si="1"/>
        <v>3.078626075015535</v>
      </c>
      <c r="I24" s="31">
        <f t="shared" si="2"/>
        <v>1.2768624924468601</v>
      </c>
      <c r="J24" s="34">
        <f t="shared" si="3"/>
        <v>-54.861210433316884</v>
      </c>
    </row>
    <row r="25" spans="1:10" x14ac:dyDescent="0.3">
      <c r="A25">
        <v>755</v>
      </c>
      <c r="B25" s="3">
        <v>0.53430713571528288</v>
      </c>
      <c r="C25" s="2">
        <v>88.099969932523493</v>
      </c>
      <c r="D25" s="1">
        <v>1.2079509469533682</v>
      </c>
      <c r="E25" s="1">
        <f t="shared" si="0"/>
        <v>22.024992483130873</v>
      </c>
      <c r="F25" s="9">
        <f t="shared" si="5"/>
        <v>25</v>
      </c>
      <c r="G25" s="12">
        <v>0</v>
      </c>
      <c r="H25" s="30">
        <f t="shared" si="1"/>
        <v>2.9750075168691268</v>
      </c>
      <c r="I25" s="31">
        <f t="shared" si="2"/>
        <v>5.5679726472049662</v>
      </c>
      <c r="J25" s="34">
        <f t="shared" si="3"/>
        <v>-55.395517569032165</v>
      </c>
    </row>
    <row r="26" spans="1:10" x14ac:dyDescent="0.3">
      <c r="A26">
        <v>1091</v>
      </c>
      <c r="B26" s="3">
        <v>0.92553085588797601</v>
      </c>
      <c r="C26" s="2">
        <v>88.661022343278077</v>
      </c>
      <c r="D26" s="1">
        <v>2.66143771994926</v>
      </c>
      <c r="E26" s="1">
        <f t="shared" si="0"/>
        <v>22.165255585819519</v>
      </c>
      <c r="F26" s="9">
        <f t="shared" si="5"/>
        <v>75</v>
      </c>
      <c r="G26" s="12">
        <v>0</v>
      </c>
      <c r="H26" s="30">
        <f t="shared" si="1"/>
        <v>52.834744414180477</v>
      </c>
      <c r="I26" s="31">
        <f t="shared" si="2"/>
        <v>57.085881122233992</v>
      </c>
      <c r="J26" s="34">
        <f t="shared" si="3"/>
        <v>-56.321048424920143</v>
      </c>
    </row>
    <row r="27" spans="1:10" x14ac:dyDescent="0.3">
      <c r="A27">
        <v>707</v>
      </c>
      <c r="B27" s="3">
        <v>0.42070180467416507</v>
      </c>
      <c r="C27" s="2">
        <v>90.364466751957792</v>
      </c>
      <c r="D27" s="1">
        <v>0.68573498692666646</v>
      </c>
      <c r="E27" s="1">
        <f t="shared" si="0"/>
        <v>22.591116687989448</v>
      </c>
      <c r="F27" s="9">
        <f t="shared" si="5"/>
        <v>25</v>
      </c>
      <c r="G27" s="12">
        <v>0</v>
      </c>
      <c r="H27" s="30">
        <f t="shared" si="1"/>
        <v>2.4088833120105519</v>
      </c>
      <c r="I27" s="31">
        <f t="shared" si="2"/>
        <v>5.7258687394418004</v>
      </c>
      <c r="J27" s="34">
        <f t="shared" si="3"/>
        <v>-56.741750229594309</v>
      </c>
    </row>
    <row r="28" spans="1:10" x14ac:dyDescent="0.3">
      <c r="A28">
        <v>971</v>
      </c>
      <c r="B28" s="3">
        <v>0.33898337185350957</v>
      </c>
      <c r="C28" s="2">
        <v>91.732859570614224</v>
      </c>
      <c r="D28" s="1">
        <v>0.64675650793850092</v>
      </c>
      <c r="E28" s="1">
        <f t="shared" si="0"/>
        <v>22.933214892653556</v>
      </c>
      <c r="F28" s="9">
        <f t="shared" si="5"/>
        <v>25</v>
      </c>
      <c r="G28" s="12">
        <v>0</v>
      </c>
      <c r="H28" s="30">
        <f t="shared" si="1"/>
        <v>2.0667851073464441</v>
      </c>
      <c r="I28" s="31">
        <f t="shared" si="2"/>
        <v>6.0970102929992613</v>
      </c>
      <c r="J28" s="34">
        <f t="shared" si="3"/>
        <v>-57.080733601447818</v>
      </c>
    </row>
    <row r="29" spans="1:10" x14ac:dyDescent="0.3">
      <c r="A29">
        <v>962</v>
      </c>
      <c r="B29" s="3">
        <v>0.3621252484718851</v>
      </c>
      <c r="C29" s="2">
        <v>95.408128218027827</v>
      </c>
      <c r="D29" s="1">
        <v>0.61690368932313355</v>
      </c>
      <c r="E29" s="1">
        <f t="shared" si="0"/>
        <v>23.852032054506957</v>
      </c>
      <c r="F29" s="9">
        <f t="shared" si="5"/>
        <v>25</v>
      </c>
      <c r="G29" s="12">
        <v>0</v>
      </c>
      <c r="H29" s="30">
        <f t="shared" si="1"/>
        <v>1.1479679454930434</v>
      </c>
      <c r="I29" s="31">
        <f t="shared" si="2"/>
        <v>3.1700853512349609</v>
      </c>
      <c r="J29" s="34">
        <f t="shared" si="3"/>
        <v>-57.442858849919702</v>
      </c>
    </row>
    <row r="30" spans="1:10" x14ac:dyDescent="0.3">
      <c r="A30">
        <v>1097</v>
      </c>
      <c r="B30" s="3">
        <v>4.3030294604863446</v>
      </c>
      <c r="C30" s="2">
        <v>99.222808457063948</v>
      </c>
      <c r="D30" s="1">
        <v>2.8395750199815346</v>
      </c>
      <c r="E30" s="1">
        <f t="shared" si="0"/>
        <v>24.805702114265987</v>
      </c>
      <c r="F30" s="9">
        <f t="shared" si="5"/>
        <v>75</v>
      </c>
      <c r="G30" s="12">
        <v>0</v>
      </c>
      <c r="H30" s="30">
        <f t="shared" si="1"/>
        <v>50.194297885734017</v>
      </c>
      <c r="I30" s="31">
        <f t="shared" si="2"/>
        <v>11.664874327878961</v>
      </c>
      <c r="J30" s="34">
        <f t="shared" si="3"/>
        <v>-61.745888310406045</v>
      </c>
    </row>
    <row r="31" spans="1:10" x14ac:dyDescent="0.3">
      <c r="A31">
        <v>762</v>
      </c>
      <c r="B31" s="3">
        <v>0.45024089787638277</v>
      </c>
      <c r="C31" s="2">
        <v>99.337194752892017</v>
      </c>
      <c r="D31" s="1">
        <v>1.2038968510307821</v>
      </c>
      <c r="E31" s="1">
        <f t="shared" si="0"/>
        <v>24.834298688223004</v>
      </c>
      <c r="F31" s="9">
        <f t="shared" si="5"/>
        <v>25</v>
      </c>
      <c r="G31" s="12">
        <v>0</v>
      </c>
      <c r="H31" s="30">
        <f t="shared" si="1"/>
        <v>0.16570131177699565</v>
      </c>
      <c r="I31" s="31">
        <f t="shared" si="2"/>
        <v>0.36802812129805734</v>
      </c>
      <c r="J31" s="34">
        <f t="shared" si="3"/>
        <v>-62.196129208282429</v>
      </c>
    </row>
  </sheetData>
  <sortState xmlns:xlrd2="http://schemas.microsoft.com/office/spreadsheetml/2017/richdata2" ref="A2:G32">
    <sortCondition ref="C1:C3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55039-5432-4EDC-9A6C-9A1121B79C49}">
  <sheetPr codeName="Sheet5"/>
  <dimension ref="A1:M31"/>
  <sheetViews>
    <sheetView workbookViewId="0">
      <selection activeCell="L11" sqref="L11:M11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2" max="12" width="45.109375" customWidth="1"/>
    <col min="13" max="13" width="17.33203125" customWidth="1"/>
  </cols>
  <sheetData>
    <row r="1" spans="1:13" x14ac:dyDescent="0.3">
      <c r="A1" s="4" t="s">
        <v>0</v>
      </c>
      <c r="B1" s="5" t="s">
        <v>1</v>
      </c>
      <c r="C1" s="6" t="s">
        <v>2</v>
      </c>
      <c r="D1" s="4" t="s">
        <v>3</v>
      </c>
      <c r="E1" s="4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L1" s="15" t="s">
        <v>26</v>
      </c>
      <c r="M1" s="4"/>
    </row>
    <row r="2" spans="1:13" x14ac:dyDescent="0.3">
      <c r="A2">
        <v>1100</v>
      </c>
      <c r="B2" s="3">
        <v>6.6708003843085297</v>
      </c>
      <c r="C2" s="2">
        <v>9.6869700740117146</v>
      </c>
      <c r="D2" s="1">
        <v>3.2266163247432469</v>
      </c>
      <c r="E2" s="1">
        <f t="shared" ref="E2:E31" si="0">0.25*C2</f>
        <v>2.4217425185029287</v>
      </c>
      <c r="F2" s="9">
        <f t="shared" ref="F2:F29" si="1">25*ROUND(D2,0)</f>
        <v>75</v>
      </c>
      <c r="G2" s="12">
        <v>1</v>
      </c>
      <c r="H2" s="30">
        <f>F2-E2</f>
        <v>72.578257481497076</v>
      </c>
      <c r="I2" s="31">
        <f>H2/B2</f>
        <v>10.879992399745637</v>
      </c>
      <c r="J2" s="32">
        <f>50-B2</f>
        <v>43.329199615691472</v>
      </c>
    </row>
    <row r="3" spans="1:13" x14ac:dyDescent="0.3">
      <c r="A3">
        <v>982</v>
      </c>
      <c r="B3" s="3">
        <v>0.33735976863779937</v>
      </c>
      <c r="C3" s="2">
        <v>57.704951339070263</v>
      </c>
      <c r="D3" s="1">
        <v>2.9035709185058072</v>
      </c>
      <c r="E3" s="1">
        <f t="shared" si="0"/>
        <v>14.426237834767566</v>
      </c>
      <c r="F3" s="9">
        <f t="shared" si="1"/>
        <v>75</v>
      </c>
      <c r="G3" s="12">
        <v>1</v>
      </c>
      <c r="H3" s="30">
        <f t="shared" ref="H3:H31" si="2">F3-E3</f>
        <v>60.573762165232438</v>
      </c>
      <c r="I3" s="31">
        <f t="shared" ref="I3:I31" si="3">H3/B3</f>
        <v>179.55241791224501</v>
      </c>
      <c r="J3" s="32">
        <f>J2-B3</f>
        <v>42.991839847053676</v>
      </c>
      <c r="L3" s="10" t="s">
        <v>8</v>
      </c>
      <c r="M3" s="14">
        <f>SUMPRODUCT(G2:G31,E2:E31)</f>
        <v>167.22118689822648</v>
      </c>
    </row>
    <row r="4" spans="1:13" x14ac:dyDescent="0.3">
      <c r="A4">
        <v>1106</v>
      </c>
      <c r="B4" s="3">
        <v>2.9859893627222291</v>
      </c>
      <c r="C4" s="2">
        <v>82.198983453072742</v>
      </c>
      <c r="D4" s="1">
        <v>2.8706130768340863</v>
      </c>
      <c r="E4" s="1">
        <f t="shared" si="0"/>
        <v>20.549745863268186</v>
      </c>
      <c r="F4" s="9">
        <f t="shared" si="1"/>
        <v>75</v>
      </c>
      <c r="G4" s="12">
        <v>1</v>
      </c>
      <c r="H4" s="30">
        <f t="shared" si="2"/>
        <v>54.450254136731814</v>
      </c>
      <c r="I4" s="31">
        <f t="shared" si="3"/>
        <v>18.235247190261688</v>
      </c>
      <c r="J4" s="32">
        <f t="shared" ref="J4:J31" si="4">J3-B4</f>
        <v>40.005850484331447</v>
      </c>
      <c r="L4" s="10" t="s">
        <v>9</v>
      </c>
      <c r="M4" s="14">
        <f>SUM(F2:F31)-SUMPRODUCT(F2:F31,G2:G31)</f>
        <v>575</v>
      </c>
    </row>
    <row r="5" spans="1:13" x14ac:dyDescent="0.3">
      <c r="A5">
        <v>1097</v>
      </c>
      <c r="B5" s="3">
        <v>4.3030294604863446</v>
      </c>
      <c r="C5" s="2">
        <v>99.222808457063948</v>
      </c>
      <c r="D5" s="1">
        <v>2.8395750199815346</v>
      </c>
      <c r="E5" s="1">
        <f t="shared" si="0"/>
        <v>24.805702114265987</v>
      </c>
      <c r="F5" s="9">
        <f t="shared" si="1"/>
        <v>75</v>
      </c>
      <c r="G5" s="12">
        <v>1</v>
      </c>
      <c r="H5" s="30">
        <f t="shared" si="2"/>
        <v>50.194297885734017</v>
      </c>
      <c r="I5" s="31">
        <f t="shared" si="3"/>
        <v>11.664874327878961</v>
      </c>
      <c r="J5" s="32">
        <f t="shared" si="4"/>
        <v>35.702821023845104</v>
      </c>
      <c r="L5" s="10" t="s">
        <v>6</v>
      </c>
      <c r="M5" s="16">
        <f>SUM(M3:M4)</f>
        <v>742.22118689822651</v>
      </c>
    </row>
    <row r="6" spans="1:13" x14ac:dyDescent="0.3">
      <c r="A6">
        <v>35</v>
      </c>
      <c r="B6" s="3">
        <v>0.43645018317542084</v>
      </c>
      <c r="C6" s="2">
        <v>78.177645639745492</v>
      </c>
      <c r="D6" s="1">
        <v>2.746872613905055</v>
      </c>
      <c r="E6" s="1">
        <f t="shared" si="0"/>
        <v>19.544411409936373</v>
      </c>
      <c r="F6" s="9">
        <f t="shared" si="1"/>
        <v>75</v>
      </c>
      <c r="G6" s="12">
        <v>1</v>
      </c>
      <c r="H6" s="30">
        <f t="shared" si="2"/>
        <v>55.455588590063627</v>
      </c>
      <c r="I6" s="31">
        <f t="shared" si="3"/>
        <v>127.06052311994233</v>
      </c>
      <c r="J6" s="32">
        <f t="shared" si="4"/>
        <v>35.26637084066968</v>
      </c>
      <c r="L6" s="10" t="s">
        <v>12</v>
      </c>
      <c r="M6" s="10">
        <f>COUNTIF(G2:G31,"&gt;0")</f>
        <v>12</v>
      </c>
    </row>
    <row r="7" spans="1:13" x14ac:dyDescent="0.3">
      <c r="A7">
        <v>1101</v>
      </c>
      <c r="B7" s="3">
        <v>3.7797107747075431</v>
      </c>
      <c r="C7" s="2">
        <v>72.776842359512912</v>
      </c>
      <c r="D7" s="1">
        <v>2.7091732189573881</v>
      </c>
      <c r="E7" s="1">
        <f t="shared" si="0"/>
        <v>18.194210589878228</v>
      </c>
      <c r="F7" s="9">
        <f t="shared" si="1"/>
        <v>75</v>
      </c>
      <c r="G7" s="12">
        <v>1</v>
      </c>
      <c r="H7" s="30">
        <f t="shared" si="2"/>
        <v>56.805789410121776</v>
      </c>
      <c r="I7" s="31">
        <f t="shared" si="3"/>
        <v>15.029136565222283</v>
      </c>
      <c r="J7" s="32">
        <f t="shared" si="4"/>
        <v>31.486660065962138</v>
      </c>
      <c r="L7" s="10" t="s">
        <v>10</v>
      </c>
      <c r="M7" s="17">
        <f>SUMPRODUCT(B2:B31,G2:G31)</f>
        <v>43.91392173878949</v>
      </c>
    </row>
    <row r="8" spans="1:13" x14ac:dyDescent="0.3">
      <c r="A8">
        <v>697</v>
      </c>
      <c r="B8" s="3">
        <v>9.5989039155543345</v>
      </c>
      <c r="C8" s="2">
        <v>0.17494846771503036</v>
      </c>
      <c r="D8" s="1">
        <v>2.6995400017259548</v>
      </c>
      <c r="E8" s="1">
        <f t="shared" si="0"/>
        <v>4.3737116928757591E-2</v>
      </c>
      <c r="F8" s="9">
        <f t="shared" si="1"/>
        <v>75</v>
      </c>
      <c r="G8" s="12">
        <v>1</v>
      </c>
      <c r="H8" s="30">
        <f t="shared" si="2"/>
        <v>74.956262883071247</v>
      </c>
      <c r="I8" s="31">
        <f t="shared" si="3"/>
        <v>7.8088356277439139</v>
      </c>
      <c r="J8" s="32">
        <f t="shared" si="4"/>
        <v>21.887756150407803</v>
      </c>
      <c r="L8" s="10" t="s">
        <v>16</v>
      </c>
      <c r="M8" s="22">
        <f>(SUMPRODUCT(G2:G31,D2:D31)/SUM(D2:D31))</f>
        <v>0.60235962900247031</v>
      </c>
    </row>
    <row r="9" spans="1:13" x14ac:dyDescent="0.3">
      <c r="A9">
        <v>1091</v>
      </c>
      <c r="B9" s="3">
        <v>0.92553085588797601</v>
      </c>
      <c r="C9" s="2">
        <v>88.661022343278077</v>
      </c>
      <c r="D9" s="1">
        <v>2.66143771994926</v>
      </c>
      <c r="E9" s="1">
        <f t="shared" si="0"/>
        <v>22.165255585819519</v>
      </c>
      <c r="F9" s="9">
        <f t="shared" si="1"/>
        <v>75</v>
      </c>
      <c r="G9" s="12">
        <v>1</v>
      </c>
      <c r="H9" s="30">
        <f t="shared" si="2"/>
        <v>52.834744414180477</v>
      </c>
      <c r="I9" s="31">
        <f t="shared" si="3"/>
        <v>57.085881122233992</v>
      </c>
      <c r="J9" s="35">
        <f t="shared" si="4"/>
        <v>20.962225294519826</v>
      </c>
      <c r="L9" s="10" t="s">
        <v>17</v>
      </c>
      <c r="M9" s="23">
        <f>(M5-660.39)/660.39</f>
        <v>0.12391342524603116</v>
      </c>
    </row>
    <row r="10" spans="1:13" x14ac:dyDescent="0.3">
      <c r="A10">
        <v>1044</v>
      </c>
      <c r="B10" s="3">
        <v>0.5610562758446358</v>
      </c>
      <c r="C10" s="2">
        <v>84.301423961499964</v>
      </c>
      <c r="D10" s="1">
        <v>2.6492622052295749</v>
      </c>
      <c r="E10" s="1">
        <f t="shared" si="0"/>
        <v>21.075355990374991</v>
      </c>
      <c r="F10" s="9">
        <f t="shared" si="1"/>
        <v>75</v>
      </c>
      <c r="G10" s="12">
        <v>1</v>
      </c>
      <c r="H10" s="30">
        <f t="shared" si="2"/>
        <v>53.924644009625013</v>
      </c>
      <c r="I10" s="31">
        <f t="shared" si="3"/>
        <v>96.112718690196928</v>
      </c>
      <c r="J10" s="35">
        <f t="shared" si="4"/>
        <v>20.401169018675191</v>
      </c>
      <c r="L10" s="10" t="s">
        <v>37</v>
      </c>
      <c r="M10" s="37">
        <f>SUM(I2:I13)</f>
        <v>555.44375486593776</v>
      </c>
    </row>
    <row r="11" spans="1:13" x14ac:dyDescent="0.3">
      <c r="A11">
        <v>1109</v>
      </c>
      <c r="B11" s="3">
        <v>7.3420481814718386</v>
      </c>
      <c r="C11" s="2">
        <v>0.8047632978806174</v>
      </c>
      <c r="D11" s="1">
        <v>2.5271032160928897</v>
      </c>
      <c r="E11" s="1">
        <f t="shared" si="0"/>
        <v>0.20119082447015435</v>
      </c>
      <c r="F11" s="9">
        <f t="shared" si="1"/>
        <v>75</v>
      </c>
      <c r="G11" s="12">
        <v>1</v>
      </c>
      <c r="H11" s="30">
        <f t="shared" si="2"/>
        <v>74.79880917552984</v>
      </c>
      <c r="I11" s="31">
        <f t="shared" si="3"/>
        <v>10.187730634115118</v>
      </c>
      <c r="J11" s="35">
        <f t="shared" si="4"/>
        <v>13.059120837203352</v>
      </c>
      <c r="L11" s="10" t="s">
        <v>40</v>
      </c>
      <c r="M11" s="22">
        <f>M10/717.77</f>
        <v>0.77384643390771102</v>
      </c>
    </row>
    <row r="12" spans="1:13" x14ac:dyDescent="0.3">
      <c r="A12">
        <v>1094</v>
      </c>
      <c r="B12" s="3">
        <v>3.441588237306096</v>
      </c>
      <c r="C12" s="2">
        <v>66.340574915676257</v>
      </c>
      <c r="D12" s="1">
        <v>2.4948461086784777</v>
      </c>
      <c r="E12" s="1">
        <f t="shared" si="0"/>
        <v>16.585143728919064</v>
      </c>
      <c r="F12" s="9">
        <f t="shared" si="1"/>
        <v>50</v>
      </c>
      <c r="G12" s="12">
        <v>1</v>
      </c>
      <c r="H12" s="30">
        <f t="shared" si="2"/>
        <v>33.414856271080936</v>
      </c>
      <c r="I12" s="31">
        <f t="shared" si="3"/>
        <v>9.7091383300509015</v>
      </c>
      <c r="J12" s="35">
        <f t="shared" si="4"/>
        <v>9.6175325998972561</v>
      </c>
    </row>
    <row r="13" spans="1:13" x14ac:dyDescent="0.3">
      <c r="A13">
        <v>1115</v>
      </c>
      <c r="B13" s="3">
        <v>3.531454338686749</v>
      </c>
      <c r="C13" s="2">
        <v>28.833813284378884</v>
      </c>
      <c r="D13" s="1">
        <v>2.4577556619557446</v>
      </c>
      <c r="E13" s="1">
        <f t="shared" si="0"/>
        <v>7.208453321094721</v>
      </c>
      <c r="F13" s="9">
        <f t="shared" si="1"/>
        <v>50</v>
      </c>
      <c r="G13" s="12">
        <v>1</v>
      </c>
      <c r="H13" s="30">
        <f t="shared" si="2"/>
        <v>42.791546678905277</v>
      </c>
      <c r="I13" s="31">
        <f t="shared" si="3"/>
        <v>12.117258946300939</v>
      </c>
      <c r="J13" s="35">
        <f t="shared" si="4"/>
        <v>6.0860782612105071</v>
      </c>
    </row>
    <row r="14" spans="1:13" x14ac:dyDescent="0.3">
      <c r="A14">
        <v>1014</v>
      </c>
      <c r="B14" s="3">
        <v>9.0506776562361004</v>
      </c>
      <c r="C14" s="2">
        <v>0.71198952660367354</v>
      </c>
      <c r="D14" s="1">
        <v>2.3017811631630205</v>
      </c>
      <c r="E14" s="1">
        <f t="shared" si="0"/>
        <v>0.17799738165091838</v>
      </c>
      <c r="F14" s="9">
        <f t="shared" si="1"/>
        <v>50</v>
      </c>
      <c r="G14" s="12">
        <v>0</v>
      </c>
      <c r="H14" s="30">
        <f t="shared" si="2"/>
        <v>49.822002618349082</v>
      </c>
      <c r="I14" s="31">
        <f t="shared" si="3"/>
        <v>5.5047814661723935</v>
      </c>
      <c r="J14" s="34">
        <f t="shared" si="4"/>
        <v>-2.9645993950255933</v>
      </c>
    </row>
    <row r="15" spans="1:13" x14ac:dyDescent="0.3">
      <c r="A15">
        <v>631</v>
      </c>
      <c r="B15" s="3">
        <v>9.4227545758652536</v>
      </c>
      <c r="C15" s="2">
        <v>0.40188261642927214</v>
      </c>
      <c r="D15" s="1">
        <v>2.0276600868965624</v>
      </c>
      <c r="E15" s="1">
        <f t="shared" si="0"/>
        <v>0.10047065410731804</v>
      </c>
      <c r="F15" s="9">
        <f t="shared" si="1"/>
        <v>50</v>
      </c>
      <c r="G15" s="12">
        <v>0</v>
      </c>
      <c r="H15" s="30">
        <f t="shared" si="2"/>
        <v>49.899529345892681</v>
      </c>
      <c r="I15" s="31">
        <f t="shared" si="3"/>
        <v>5.2956414118756356</v>
      </c>
      <c r="J15" s="34">
        <f t="shared" si="4"/>
        <v>-12.387353970890846</v>
      </c>
    </row>
    <row r="16" spans="1:13" x14ac:dyDescent="0.3">
      <c r="A16">
        <v>570</v>
      </c>
      <c r="B16" s="3">
        <v>4.641911641886189</v>
      </c>
      <c r="C16" s="2">
        <v>0.7361126155005504</v>
      </c>
      <c r="D16" s="1">
        <v>1.9311091598096972</v>
      </c>
      <c r="E16" s="1">
        <f t="shared" si="0"/>
        <v>0.1840281538751376</v>
      </c>
      <c r="F16" s="9">
        <f t="shared" si="1"/>
        <v>50</v>
      </c>
      <c r="G16" s="12">
        <v>0</v>
      </c>
      <c r="H16" s="30">
        <f t="shared" si="2"/>
        <v>49.81597184612486</v>
      </c>
      <c r="I16" s="31">
        <f t="shared" si="3"/>
        <v>10.731779423936363</v>
      </c>
      <c r="J16" s="34">
        <f t="shared" si="4"/>
        <v>-17.029265612777035</v>
      </c>
    </row>
    <row r="17" spans="1:10" x14ac:dyDescent="0.3">
      <c r="A17">
        <v>790</v>
      </c>
      <c r="B17" s="3">
        <v>7.8201937950803906</v>
      </c>
      <c r="C17" s="2">
        <v>3.3189732381488923E-2</v>
      </c>
      <c r="D17" s="1">
        <v>1.8528444424142394</v>
      </c>
      <c r="E17" s="1">
        <f t="shared" si="0"/>
        <v>8.2974330953722308E-3</v>
      </c>
      <c r="F17" s="9">
        <f t="shared" si="1"/>
        <v>50</v>
      </c>
      <c r="G17" s="12">
        <v>0</v>
      </c>
      <c r="H17" s="30">
        <f t="shared" si="2"/>
        <v>49.991702566904628</v>
      </c>
      <c r="I17" s="31">
        <f t="shared" si="3"/>
        <v>6.3926424174237129</v>
      </c>
      <c r="J17" s="34">
        <f t="shared" si="4"/>
        <v>-24.849459407857424</v>
      </c>
    </row>
    <row r="18" spans="1:10" x14ac:dyDescent="0.3">
      <c r="A18">
        <v>836</v>
      </c>
      <c r="B18" s="3">
        <v>8.2176486062281029</v>
      </c>
      <c r="C18" s="2">
        <v>0.17799302280316898</v>
      </c>
      <c r="D18" s="1">
        <v>1.7590900459121823</v>
      </c>
      <c r="E18" s="1">
        <f t="shared" si="0"/>
        <v>4.4498255700792244E-2</v>
      </c>
      <c r="F18" s="9">
        <f t="shared" si="1"/>
        <v>50</v>
      </c>
      <c r="G18" s="12">
        <v>0</v>
      </c>
      <c r="H18" s="30">
        <f t="shared" si="2"/>
        <v>49.955501744299205</v>
      </c>
      <c r="I18" s="31">
        <f t="shared" si="3"/>
        <v>6.0790506065735466</v>
      </c>
      <c r="J18" s="34">
        <f t="shared" si="4"/>
        <v>-33.067108014085527</v>
      </c>
    </row>
    <row r="19" spans="1:10" x14ac:dyDescent="0.3">
      <c r="A19">
        <v>91</v>
      </c>
      <c r="B19" s="3">
        <v>0.33735976863779937</v>
      </c>
      <c r="C19" s="2">
        <v>47.435302492539634</v>
      </c>
      <c r="D19" s="1">
        <v>1.403178780418642</v>
      </c>
      <c r="E19" s="1">
        <f t="shared" si="0"/>
        <v>11.858825623134909</v>
      </c>
      <c r="F19" s="9">
        <f t="shared" si="1"/>
        <v>25</v>
      </c>
      <c r="G19" s="12">
        <v>0</v>
      </c>
      <c r="H19" s="30">
        <f t="shared" si="2"/>
        <v>13.141174376865091</v>
      </c>
      <c r="I19" s="31">
        <f t="shared" si="3"/>
        <v>38.952997952088033</v>
      </c>
      <c r="J19" s="34">
        <f t="shared" si="4"/>
        <v>-33.404467782723323</v>
      </c>
    </row>
    <row r="20" spans="1:10" x14ac:dyDescent="0.3">
      <c r="A20">
        <v>1035</v>
      </c>
      <c r="B20" s="3">
        <v>6.5297033608495365</v>
      </c>
      <c r="C20" s="2">
        <v>2.054150321596504E-2</v>
      </c>
      <c r="D20" s="1">
        <v>1.3756516629534754</v>
      </c>
      <c r="E20" s="1">
        <f t="shared" si="0"/>
        <v>5.13537580399126E-3</v>
      </c>
      <c r="F20" s="9">
        <f t="shared" si="1"/>
        <v>25</v>
      </c>
      <c r="G20" s="12">
        <v>0</v>
      </c>
      <c r="H20" s="30">
        <f t="shared" si="2"/>
        <v>24.994864624196008</v>
      </c>
      <c r="I20" s="31">
        <f t="shared" si="3"/>
        <v>3.8278713814258314</v>
      </c>
      <c r="J20" s="34">
        <f t="shared" si="4"/>
        <v>-39.934171143572861</v>
      </c>
    </row>
    <row r="21" spans="1:10" x14ac:dyDescent="0.3">
      <c r="A21">
        <v>802</v>
      </c>
      <c r="B21" s="3">
        <v>7.1043214039770586</v>
      </c>
      <c r="C21" s="2">
        <v>0.39843641945495056</v>
      </c>
      <c r="D21" s="1">
        <v>1.3545336572317539</v>
      </c>
      <c r="E21" s="1">
        <f t="shared" si="0"/>
        <v>9.9609104863737641E-2</v>
      </c>
      <c r="F21" s="9">
        <f t="shared" si="1"/>
        <v>25</v>
      </c>
      <c r="G21" s="12">
        <v>0</v>
      </c>
      <c r="H21" s="30">
        <f t="shared" si="2"/>
        <v>24.900390895136262</v>
      </c>
      <c r="I21" s="31">
        <f t="shared" si="3"/>
        <v>3.5049640182659552</v>
      </c>
      <c r="J21" s="34">
        <f t="shared" si="4"/>
        <v>-47.038492547549922</v>
      </c>
    </row>
    <row r="22" spans="1:10" x14ac:dyDescent="0.3">
      <c r="A22">
        <v>1104</v>
      </c>
      <c r="B22" s="3">
        <v>2.4110866230520589</v>
      </c>
      <c r="C22" s="2">
        <v>87.68549569993786</v>
      </c>
      <c r="D22" s="1">
        <v>1.2292350199888231</v>
      </c>
      <c r="E22" s="1">
        <f t="shared" si="0"/>
        <v>21.921373924984465</v>
      </c>
      <c r="F22" s="9">
        <f t="shared" si="1"/>
        <v>25</v>
      </c>
      <c r="G22" s="12">
        <v>0</v>
      </c>
      <c r="H22" s="30">
        <f t="shared" si="2"/>
        <v>3.078626075015535</v>
      </c>
      <c r="I22" s="31">
        <f t="shared" si="3"/>
        <v>1.2768624924468601</v>
      </c>
      <c r="J22" s="34">
        <f t="shared" si="4"/>
        <v>-49.449579170601979</v>
      </c>
    </row>
    <row r="23" spans="1:10" x14ac:dyDescent="0.3">
      <c r="A23">
        <v>755</v>
      </c>
      <c r="B23" s="3">
        <v>0.53430713571528288</v>
      </c>
      <c r="C23" s="2">
        <v>88.099969932523493</v>
      </c>
      <c r="D23" s="1">
        <v>1.2079509469533682</v>
      </c>
      <c r="E23" s="1">
        <f t="shared" si="0"/>
        <v>22.024992483130873</v>
      </c>
      <c r="F23" s="9">
        <f t="shared" si="1"/>
        <v>25</v>
      </c>
      <c r="G23" s="12">
        <v>0</v>
      </c>
      <c r="H23" s="30">
        <f t="shared" si="2"/>
        <v>2.9750075168691268</v>
      </c>
      <c r="I23" s="31">
        <f t="shared" si="3"/>
        <v>5.5679726472049662</v>
      </c>
      <c r="J23" s="34">
        <f t="shared" si="4"/>
        <v>-49.98388630631726</v>
      </c>
    </row>
    <row r="24" spans="1:10" x14ac:dyDescent="0.3">
      <c r="A24">
        <v>762</v>
      </c>
      <c r="B24" s="3">
        <v>0.45024089787638277</v>
      </c>
      <c r="C24" s="2">
        <v>99.337194752892017</v>
      </c>
      <c r="D24" s="1">
        <v>1.2038968510307821</v>
      </c>
      <c r="E24" s="1">
        <f t="shared" si="0"/>
        <v>24.834298688223004</v>
      </c>
      <c r="F24" s="9">
        <f t="shared" si="1"/>
        <v>25</v>
      </c>
      <c r="G24" s="12">
        <v>0</v>
      </c>
      <c r="H24" s="30">
        <f t="shared" si="2"/>
        <v>0.16570131177699565</v>
      </c>
      <c r="I24" s="31">
        <f t="shared" si="3"/>
        <v>0.36802812129805734</v>
      </c>
      <c r="J24" s="34">
        <f t="shared" si="4"/>
        <v>-50.434127204193643</v>
      </c>
    </row>
    <row r="25" spans="1:10" x14ac:dyDescent="0.3">
      <c r="A25">
        <v>872</v>
      </c>
      <c r="B25" s="3">
        <v>5.8911859065317298</v>
      </c>
      <c r="C25" s="2">
        <v>0.32542690615354752</v>
      </c>
      <c r="D25" s="1">
        <v>0.92378802779970148</v>
      </c>
      <c r="E25" s="1">
        <f t="shared" si="0"/>
        <v>8.1356726538386881E-2</v>
      </c>
      <c r="F25" s="9">
        <f t="shared" si="1"/>
        <v>25</v>
      </c>
      <c r="G25" s="12">
        <v>0</v>
      </c>
      <c r="H25" s="30">
        <f t="shared" si="2"/>
        <v>24.918643273461612</v>
      </c>
      <c r="I25" s="31">
        <f t="shared" si="3"/>
        <v>4.2298178446267647</v>
      </c>
      <c r="J25" s="34">
        <f t="shared" si="4"/>
        <v>-56.325313110725375</v>
      </c>
    </row>
    <row r="26" spans="1:10" x14ac:dyDescent="0.3">
      <c r="A26">
        <v>707</v>
      </c>
      <c r="B26" s="3">
        <v>0.42070180467416507</v>
      </c>
      <c r="C26" s="2">
        <v>90.364466751957792</v>
      </c>
      <c r="D26" s="1">
        <v>0.68573498692666646</v>
      </c>
      <c r="E26" s="1">
        <f t="shared" si="0"/>
        <v>22.591116687989448</v>
      </c>
      <c r="F26" s="9">
        <f t="shared" si="1"/>
        <v>25</v>
      </c>
      <c r="G26" s="12">
        <v>0</v>
      </c>
      <c r="H26" s="30">
        <f t="shared" si="2"/>
        <v>2.4088833120105519</v>
      </c>
      <c r="I26" s="31">
        <f t="shared" si="3"/>
        <v>5.7258687394418004</v>
      </c>
      <c r="J26" s="34">
        <f t="shared" si="4"/>
        <v>-56.746014915399542</v>
      </c>
    </row>
    <row r="27" spans="1:10" x14ac:dyDescent="0.3">
      <c r="A27">
        <v>971</v>
      </c>
      <c r="B27" s="3">
        <v>0.33898337185350957</v>
      </c>
      <c r="C27" s="2">
        <v>91.732859570614224</v>
      </c>
      <c r="D27" s="1">
        <v>0.64675650793850092</v>
      </c>
      <c r="E27" s="1">
        <f t="shared" si="0"/>
        <v>22.933214892653556</v>
      </c>
      <c r="F27" s="9">
        <f t="shared" si="1"/>
        <v>25</v>
      </c>
      <c r="G27" s="12">
        <v>0</v>
      </c>
      <c r="H27" s="30">
        <f t="shared" si="2"/>
        <v>2.0667851073464441</v>
      </c>
      <c r="I27" s="31">
        <f t="shared" si="3"/>
        <v>6.0970102929992613</v>
      </c>
      <c r="J27" s="34">
        <f t="shared" si="4"/>
        <v>-57.08499828725305</v>
      </c>
    </row>
    <row r="28" spans="1:10" x14ac:dyDescent="0.3">
      <c r="A28">
        <v>962</v>
      </c>
      <c r="B28" s="3">
        <v>0.3621252484718851</v>
      </c>
      <c r="C28" s="2">
        <v>95.408128218027827</v>
      </c>
      <c r="D28" s="1">
        <v>0.61690368932313355</v>
      </c>
      <c r="E28" s="1">
        <f t="shared" si="0"/>
        <v>23.852032054506957</v>
      </c>
      <c r="F28" s="9">
        <f t="shared" si="1"/>
        <v>25</v>
      </c>
      <c r="G28" s="12">
        <v>0</v>
      </c>
      <c r="H28" s="30">
        <f t="shared" si="2"/>
        <v>1.1479679454930434</v>
      </c>
      <c r="I28" s="31">
        <f t="shared" si="3"/>
        <v>3.1700853512349609</v>
      </c>
      <c r="J28" s="34">
        <f t="shared" si="4"/>
        <v>-57.447123535724934</v>
      </c>
    </row>
    <row r="29" spans="1:10" x14ac:dyDescent="0.3">
      <c r="A29">
        <v>207</v>
      </c>
      <c r="B29" s="3">
        <v>0.53226354816753751</v>
      </c>
      <c r="C29" s="2">
        <v>36.389595342580009</v>
      </c>
      <c r="D29" s="1">
        <v>0.55340951299649488</v>
      </c>
      <c r="E29" s="1">
        <f t="shared" si="0"/>
        <v>9.0973988356450022</v>
      </c>
      <c r="F29" s="9">
        <f t="shared" si="1"/>
        <v>25</v>
      </c>
      <c r="G29" s="12">
        <v>0</v>
      </c>
      <c r="H29" s="30">
        <f t="shared" si="2"/>
        <v>15.902601164354998</v>
      </c>
      <c r="I29" s="31">
        <f t="shared" si="3"/>
        <v>29.877306494318539</v>
      </c>
      <c r="J29" s="34">
        <f t="shared" si="4"/>
        <v>-57.979387083892469</v>
      </c>
    </row>
    <row r="30" spans="1:10" x14ac:dyDescent="0.3">
      <c r="A30">
        <v>1098</v>
      </c>
      <c r="B30" s="3">
        <v>0.69534260741033416</v>
      </c>
      <c r="C30" s="2">
        <v>48.204808004424237</v>
      </c>
      <c r="D30" s="1">
        <v>0.31486619023461765</v>
      </c>
      <c r="E30" s="1">
        <f t="shared" si="0"/>
        <v>12.051202001106059</v>
      </c>
      <c r="F30" s="9">
        <v>25</v>
      </c>
      <c r="G30" s="12">
        <v>0</v>
      </c>
      <c r="H30" s="30">
        <f t="shared" si="2"/>
        <v>12.948797998893941</v>
      </c>
      <c r="I30" s="31">
        <f t="shared" si="3"/>
        <v>18.622184029710439</v>
      </c>
      <c r="J30" s="34">
        <f t="shared" si="4"/>
        <v>-58.674729691302801</v>
      </c>
    </row>
    <row r="31" spans="1:10" x14ac:dyDescent="0.3">
      <c r="A31">
        <v>954</v>
      </c>
      <c r="B31" s="3">
        <v>3.5213995169796286</v>
      </c>
      <c r="C31" s="2">
        <v>4.1259991134545704E-2</v>
      </c>
      <c r="D31" s="1">
        <v>0.25512942873062083</v>
      </c>
      <c r="E31" s="1">
        <f t="shared" si="0"/>
        <v>1.0314997783636426E-2</v>
      </c>
      <c r="F31" s="9">
        <f>25</f>
        <v>25</v>
      </c>
      <c r="G31" s="12">
        <v>0</v>
      </c>
      <c r="H31" s="30">
        <f t="shared" si="2"/>
        <v>24.989685002216362</v>
      </c>
      <c r="I31" s="31">
        <f t="shared" si="3"/>
        <v>7.0965208240985076</v>
      </c>
      <c r="J31" s="34">
        <f t="shared" si="4"/>
        <v>-62.196129208282429</v>
      </c>
    </row>
  </sheetData>
  <sortState xmlns:xlrd2="http://schemas.microsoft.com/office/spreadsheetml/2017/richdata2" ref="A2:G33">
    <sortCondition descending="1" ref="D1:D3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56CD7-C73F-4DCC-AFFC-737E5E014163}">
  <sheetPr codeName="Sheet6"/>
  <dimension ref="A1:M31"/>
  <sheetViews>
    <sheetView topLeftCell="B6" workbookViewId="0">
      <selection activeCell="L11" sqref="L11:M11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1" max="11" width="2.109375" customWidth="1"/>
    <col min="12" max="12" width="46" customWidth="1"/>
    <col min="13" max="13" width="36.21875" customWidth="1"/>
  </cols>
  <sheetData>
    <row r="1" spans="1:13" x14ac:dyDescent="0.3">
      <c r="A1" s="4" t="s">
        <v>0</v>
      </c>
      <c r="B1" s="5" t="s">
        <v>1</v>
      </c>
      <c r="C1" s="6" t="s">
        <v>2</v>
      </c>
      <c r="D1" s="4" t="s">
        <v>3</v>
      </c>
      <c r="E1" s="4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L1" s="15" t="s">
        <v>27</v>
      </c>
      <c r="M1" s="4"/>
    </row>
    <row r="2" spans="1:13" x14ac:dyDescent="0.3">
      <c r="A2">
        <v>697</v>
      </c>
      <c r="B2" s="3">
        <v>9.5989039155543345</v>
      </c>
      <c r="C2" s="2">
        <v>0.17494846771503036</v>
      </c>
      <c r="D2" s="1">
        <v>2.6995400017259548</v>
      </c>
      <c r="E2" s="1">
        <f t="shared" ref="E2:E31" si="0">0.25*C2</f>
        <v>4.3737116928757591E-2</v>
      </c>
      <c r="F2" s="9">
        <f t="shared" ref="F2:F19" si="1">25*ROUND(D2,0)</f>
        <v>75</v>
      </c>
      <c r="G2" s="12">
        <v>1</v>
      </c>
      <c r="H2" s="30">
        <f>F2-E2</f>
        <v>74.956262883071247</v>
      </c>
      <c r="I2" s="31">
        <f>H2/B2</f>
        <v>7.8088356277439139</v>
      </c>
      <c r="J2" s="32">
        <f>50-B2</f>
        <v>40.401096084445669</v>
      </c>
      <c r="M2" s="20"/>
    </row>
    <row r="3" spans="1:13" x14ac:dyDescent="0.3">
      <c r="A3">
        <v>1109</v>
      </c>
      <c r="B3" s="3">
        <v>7.3420481814718386</v>
      </c>
      <c r="C3" s="2">
        <v>0.8047632978806174</v>
      </c>
      <c r="D3" s="1">
        <v>2.5271032160928897</v>
      </c>
      <c r="E3" s="1">
        <f t="shared" si="0"/>
        <v>0.20119082447015435</v>
      </c>
      <c r="F3" s="9">
        <f t="shared" si="1"/>
        <v>75</v>
      </c>
      <c r="G3" s="12">
        <v>1</v>
      </c>
      <c r="H3" s="30">
        <f t="shared" ref="H3:H31" si="2">F3-E3</f>
        <v>74.79880917552984</v>
      </c>
      <c r="I3" s="31">
        <f t="shared" ref="I3:I31" si="3">H3/B3</f>
        <v>10.187730634115118</v>
      </c>
      <c r="J3" s="32">
        <f>J2-B3</f>
        <v>33.05904790297383</v>
      </c>
      <c r="L3" s="10" t="s">
        <v>8</v>
      </c>
      <c r="M3" s="11">
        <f>SUMPRODUCT(G2:G31,E2:E31)</f>
        <v>143.43588728130808</v>
      </c>
    </row>
    <row r="4" spans="1:13" x14ac:dyDescent="0.3">
      <c r="A4">
        <v>1100</v>
      </c>
      <c r="B4" s="3">
        <v>6.6708003843085297</v>
      </c>
      <c r="C4" s="2">
        <v>9.6869700740117146</v>
      </c>
      <c r="D4" s="1">
        <v>3.2266163247432469</v>
      </c>
      <c r="E4" s="1">
        <f t="shared" si="0"/>
        <v>2.4217425185029287</v>
      </c>
      <c r="F4" s="9">
        <f t="shared" si="1"/>
        <v>75</v>
      </c>
      <c r="G4" s="12">
        <v>1</v>
      </c>
      <c r="H4" s="30">
        <f t="shared" si="2"/>
        <v>72.578257481497076</v>
      </c>
      <c r="I4" s="31">
        <f t="shared" si="3"/>
        <v>10.879992399745637</v>
      </c>
      <c r="J4" s="32">
        <f t="shared" ref="J4:J31" si="4">J3-B4</f>
        <v>26.388247518665302</v>
      </c>
      <c r="L4" s="10" t="s">
        <v>9</v>
      </c>
      <c r="M4" s="11">
        <f>SUM(F2:F31)-SUMPRODUCT(G2:G31,F2:F31)</f>
        <v>625</v>
      </c>
    </row>
    <row r="5" spans="1:13" x14ac:dyDescent="0.3">
      <c r="A5">
        <v>982</v>
      </c>
      <c r="B5" s="3">
        <v>0.33735976863779937</v>
      </c>
      <c r="C5" s="2">
        <v>57.704951339070263</v>
      </c>
      <c r="D5" s="1">
        <v>2.9035709185058072</v>
      </c>
      <c r="E5" s="1">
        <f t="shared" si="0"/>
        <v>14.426237834767566</v>
      </c>
      <c r="F5" s="9">
        <f t="shared" si="1"/>
        <v>75</v>
      </c>
      <c r="G5" s="12">
        <v>1</v>
      </c>
      <c r="H5" s="30">
        <f t="shared" si="2"/>
        <v>60.573762165232438</v>
      </c>
      <c r="I5" s="31">
        <f t="shared" si="3"/>
        <v>179.55241791224501</v>
      </c>
      <c r="J5" s="32">
        <f t="shared" si="4"/>
        <v>26.050887750027503</v>
      </c>
      <c r="L5" s="10" t="s">
        <v>6</v>
      </c>
      <c r="M5" s="19">
        <f>SUM(M3:M4)</f>
        <v>768.43588728130806</v>
      </c>
    </row>
    <row r="6" spans="1:13" x14ac:dyDescent="0.3">
      <c r="A6">
        <v>1101</v>
      </c>
      <c r="B6" s="3">
        <v>3.7797107747075431</v>
      </c>
      <c r="C6" s="2">
        <v>72.776842359512912</v>
      </c>
      <c r="D6" s="1">
        <v>2.7091732189573881</v>
      </c>
      <c r="E6" s="1">
        <f t="shared" si="0"/>
        <v>18.194210589878228</v>
      </c>
      <c r="F6" s="9">
        <f t="shared" si="1"/>
        <v>75</v>
      </c>
      <c r="G6" s="12">
        <v>1</v>
      </c>
      <c r="H6" s="30">
        <f t="shared" si="2"/>
        <v>56.805789410121776</v>
      </c>
      <c r="I6" s="31">
        <f t="shared" si="3"/>
        <v>15.029136565222283</v>
      </c>
      <c r="J6" s="32">
        <f t="shared" si="4"/>
        <v>22.27117697531996</v>
      </c>
      <c r="L6" s="10" t="s">
        <v>14</v>
      </c>
      <c r="M6" s="10">
        <f>COUNTIF(G2:G31,"&gt;0")</f>
        <v>11</v>
      </c>
    </row>
    <row r="7" spans="1:13" x14ac:dyDescent="0.3">
      <c r="A7">
        <v>35</v>
      </c>
      <c r="B7" s="3">
        <v>0.43645018317542084</v>
      </c>
      <c r="C7" s="2">
        <v>78.177645639745492</v>
      </c>
      <c r="D7" s="1">
        <v>2.746872613905055</v>
      </c>
      <c r="E7" s="1">
        <f t="shared" si="0"/>
        <v>19.544411409936373</v>
      </c>
      <c r="F7" s="9">
        <f t="shared" si="1"/>
        <v>75</v>
      </c>
      <c r="G7" s="12">
        <v>1</v>
      </c>
      <c r="H7" s="30">
        <f t="shared" si="2"/>
        <v>55.455588590063627</v>
      </c>
      <c r="I7" s="31">
        <f t="shared" si="3"/>
        <v>127.06052311994233</v>
      </c>
      <c r="J7" s="32">
        <f t="shared" si="4"/>
        <v>21.83472679214454</v>
      </c>
      <c r="L7" s="10" t="s">
        <v>15</v>
      </c>
      <c r="M7" s="17">
        <f>SUMPRODUCT(G2:G31,B2:B31)</f>
        <v>44.76107295787704</v>
      </c>
    </row>
    <row r="8" spans="1:13" x14ac:dyDescent="0.3">
      <c r="A8">
        <v>1106</v>
      </c>
      <c r="B8" s="3">
        <v>2.9859893627222291</v>
      </c>
      <c r="C8" s="2">
        <v>82.198983453072742</v>
      </c>
      <c r="D8" s="1">
        <v>2.8706130768340863</v>
      </c>
      <c r="E8" s="1">
        <f t="shared" si="0"/>
        <v>20.549745863268186</v>
      </c>
      <c r="F8" s="9">
        <f t="shared" si="1"/>
        <v>75</v>
      </c>
      <c r="G8" s="12">
        <v>1</v>
      </c>
      <c r="H8" s="30">
        <f t="shared" si="2"/>
        <v>54.450254136731814</v>
      </c>
      <c r="I8" s="31">
        <f t="shared" si="3"/>
        <v>18.235247190261688</v>
      </c>
      <c r="J8" s="32">
        <f t="shared" si="4"/>
        <v>18.848737429422311</v>
      </c>
      <c r="L8" s="10" t="s">
        <v>16</v>
      </c>
      <c r="M8" s="22">
        <f>(SUMPRODUCT(G2:G31,D2:D31)/SUM(D2:D31))</f>
        <v>0.54541008267901436</v>
      </c>
    </row>
    <row r="9" spans="1:13" x14ac:dyDescent="0.3">
      <c r="A9">
        <v>1044</v>
      </c>
      <c r="B9" s="3">
        <v>0.5610562758446358</v>
      </c>
      <c r="C9" s="2">
        <v>84.301423961499964</v>
      </c>
      <c r="D9" s="1">
        <v>2.6492622052295749</v>
      </c>
      <c r="E9" s="1">
        <f t="shared" si="0"/>
        <v>21.075355990374991</v>
      </c>
      <c r="F9" s="9">
        <f t="shared" si="1"/>
        <v>75</v>
      </c>
      <c r="G9" s="12">
        <v>1</v>
      </c>
      <c r="H9" s="30">
        <f t="shared" si="2"/>
        <v>53.924644009625013</v>
      </c>
      <c r="I9" s="31">
        <f t="shared" si="3"/>
        <v>96.112718690196928</v>
      </c>
      <c r="J9" s="35">
        <f t="shared" si="4"/>
        <v>18.287681153577676</v>
      </c>
      <c r="L9" s="10" t="s">
        <v>17</v>
      </c>
      <c r="M9" s="23">
        <f>(M5-660.39)/660.39</f>
        <v>0.16360921164964351</v>
      </c>
    </row>
    <row r="10" spans="1:13" x14ac:dyDescent="0.3">
      <c r="A10">
        <v>1091</v>
      </c>
      <c r="B10" s="3">
        <v>0.92553085588797601</v>
      </c>
      <c r="C10" s="2">
        <v>88.661022343278077</v>
      </c>
      <c r="D10" s="1">
        <v>2.66143771994926</v>
      </c>
      <c r="E10" s="1">
        <f t="shared" si="0"/>
        <v>22.165255585819519</v>
      </c>
      <c r="F10" s="9">
        <f t="shared" si="1"/>
        <v>75</v>
      </c>
      <c r="G10" s="12">
        <v>1</v>
      </c>
      <c r="H10" s="30">
        <f t="shared" si="2"/>
        <v>52.834744414180477</v>
      </c>
      <c r="I10" s="31">
        <f t="shared" si="3"/>
        <v>57.085881122233992</v>
      </c>
      <c r="J10" s="35">
        <f t="shared" si="4"/>
        <v>17.362150297689698</v>
      </c>
      <c r="L10" s="10" t="s">
        <v>37</v>
      </c>
      <c r="M10" s="37">
        <f>SUM(I2:I12)</f>
        <v>540.01000000700958</v>
      </c>
    </row>
    <row r="11" spans="1:13" x14ac:dyDescent="0.3">
      <c r="A11">
        <v>1097</v>
      </c>
      <c r="B11" s="3">
        <v>4.3030294604863446</v>
      </c>
      <c r="C11" s="2">
        <v>99.222808457063948</v>
      </c>
      <c r="D11" s="1">
        <v>2.8395750199815346</v>
      </c>
      <c r="E11" s="1">
        <f t="shared" si="0"/>
        <v>24.805702114265987</v>
      </c>
      <c r="F11" s="9">
        <f t="shared" si="1"/>
        <v>75</v>
      </c>
      <c r="G11" s="12">
        <v>1</v>
      </c>
      <c r="H11" s="30">
        <f t="shared" si="2"/>
        <v>50.194297885734017</v>
      </c>
      <c r="I11" s="31">
        <f t="shared" si="3"/>
        <v>11.664874327878961</v>
      </c>
      <c r="J11" s="35">
        <f t="shared" si="4"/>
        <v>13.059120837203354</v>
      </c>
      <c r="L11" s="10" t="s">
        <v>40</v>
      </c>
      <c r="M11" s="22">
        <f>M10/717.77</f>
        <v>0.75234406565753598</v>
      </c>
    </row>
    <row r="12" spans="1:13" x14ac:dyDescent="0.3">
      <c r="A12">
        <v>790</v>
      </c>
      <c r="B12" s="3">
        <v>7.8201937950803906</v>
      </c>
      <c r="C12" s="2">
        <v>3.3189732381488923E-2</v>
      </c>
      <c r="D12" s="1">
        <v>1.8528444424142394</v>
      </c>
      <c r="E12" s="1">
        <f t="shared" si="0"/>
        <v>8.2974330953722308E-3</v>
      </c>
      <c r="F12" s="9">
        <f t="shared" si="1"/>
        <v>50</v>
      </c>
      <c r="G12" s="12">
        <v>1</v>
      </c>
      <c r="H12" s="30">
        <f t="shared" si="2"/>
        <v>49.991702566904628</v>
      </c>
      <c r="I12" s="31">
        <f t="shared" si="3"/>
        <v>6.3926424174237129</v>
      </c>
      <c r="J12" s="35">
        <f t="shared" si="4"/>
        <v>5.2389270421229632</v>
      </c>
    </row>
    <row r="13" spans="1:13" x14ac:dyDescent="0.3">
      <c r="A13">
        <v>836</v>
      </c>
      <c r="B13" s="3">
        <v>8.2176486062281029</v>
      </c>
      <c r="C13" s="2">
        <v>0.17799302280316898</v>
      </c>
      <c r="D13" s="1">
        <v>1.7590900459121823</v>
      </c>
      <c r="E13" s="1">
        <f t="shared" si="0"/>
        <v>4.4498255700792244E-2</v>
      </c>
      <c r="F13" s="9">
        <f t="shared" si="1"/>
        <v>50</v>
      </c>
      <c r="G13" s="12">
        <v>0</v>
      </c>
      <c r="H13" s="30">
        <f t="shared" si="2"/>
        <v>49.955501744299205</v>
      </c>
      <c r="I13" s="31">
        <f t="shared" si="3"/>
        <v>6.0790506065735466</v>
      </c>
      <c r="J13" s="34">
        <f t="shared" si="4"/>
        <v>-2.9787215641051397</v>
      </c>
    </row>
    <row r="14" spans="1:13" x14ac:dyDescent="0.3">
      <c r="A14">
        <v>631</v>
      </c>
      <c r="B14" s="3">
        <v>9.4227545758652536</v>
      </c>
      <c r="C14" s="2">
        <v>0.40188261642927214</v>
      </c>
      <c r="D14" s="1">
        <v>2.0276600868965624</v>
      </c>
      <c r="E14" s="1">
        <f t="shared" si="0"/>
        <v>0.10047065410731804</v>
      </c>
      <c r="F14" s="9">
        <f t="shared" si="1"/>
        <v>50</v>
      </c>
      <c r="G14" s="12">
        <v>0</v>
      </c>
      <c r="H14" s="30">
        <f t="shared" si="2"/>
        <v>49.899529345892681</v>
      </c>
      <c r="I14" s="31">
        <f t="shared" si="3"/>
        <v>5.2956414118756356</v>
      </c>
      <c r="J14" s="34">
        <f t="shared" si="4"/>
        <v>-12.401476139970393</v>
      </c>
    </row>
    <row r="15" spans="1:13" x14ac:dyDescent="0.3">
      <c r="A15">
        <v>1014</v>
      </c>
      <c r="B15" s="3">
        <v>9.0506776562361004</v>
      </c>
      <c r="C15" s="2">
        <v>0.71198952660367354</v>
      </c>
      <c r="D15" s="1">
        <v>2.3017811631630205</v>
      </c>
      <c r="E15" s="1">
        <f t="shared" si="0"/>
        <v>0.17799738165091838</v>
      </c>
      <c r="F15" s="9">
        <f t="shared" si="1"/>
        <v>50</v>
      </c>
      <c r="G15" s="12">
        <v>0</v>
      </c>
      <c r="H15" s="30">
        <f t="shared" si="2"/>
        <v>49.822002618349082</v>
      </c>
      <c r="I15" s="31">
        <f t="shared" si="3"/>
        <v>5.5047814661723935</v>
      </c>
      <c r="J15" s="34">
        <f t="shared" si="4"/>
        <v>-21.452153796206495</v>
      </c>
      <c r="M15" s="2"/>
    </row>
    <row r="16" spans="1:13" x14ac:dyDescent="0.3">
      <c r="A16">
        <v>570</v>
      </c>
      <c r="B16" s="3">
        <v>4.641911641886189</v>
      </c>
      <c r="C16" s="2">
        <v>0.7361126155005504</v>
      </c>
      <c r="D16" s="1">
        <v>1.9311091598096972</v>
      </c>
      <c r="E16" s="1">
        <f t="shared" si="0"/>
        <v>0.1840281538751376</v>
      </c>
      <c r="F16" s="9">
        <f t="shared" si="1"/>
        <v>50</v>
      </c>
      <c r="G16" s="12">
        <v>0</v>
      </c>
      <c r="H16" s="30">
        <f t="shared" si="2"/>
        <v>49.81597184612486</v>
      </c>
      <c r="I16" s="31">
        <f t="shared" si="3"/>
        <v>10.731779423936363</v>
      </c>
      <c r="J16" s="34">
        <f t="shared" si="4"/>
        <v>-26.094065438092684</v>
      </c>
      <c r="M16" s="21"/>
    </row>
    <row r="17" spans="1:10" x14ac:dyDescent="0.3">
      <c r="A17">
        <v>1115</v>
      </c>
      <c r="B17" s="3">
        <v>3.531454338686749</v>
      </c>
      <c r="C17" s="2">
        <v>28.833813284378884</v>
      </c>
      <c r="D17" s="1">
        <v>2.4577556619557446</v>
      </c>
      <c r="E17" s="1">
        <f t="shared" si="0"/>
        <v>7.208453321094721</v>
      </c>
      <c r="F17" s="9">
        <f t="shared" si="1"/>
        <v>50</v>
      </c>
      <c r="G17" s="12">
        <v>0</v>
      </c>
      <c r="H17" s="30">
        <f t="shared" si="2"/>
        <v>42.791546678905277</v>
      </c>
      <c r="I17" s="31">
        <f t="shared" si="3"/>
        <v>12.117258946300939</v>
      </c>
      <c r="J17" s="34">
        <f t="shared" si="4"/>
        <v>-29.625519776779434</v>
      </c>
    </row>
    <row r="18" spans="1:10" x14ac:dyDescent="0.3">
      <c r="A18">
        <v>1094</v>
      </c>
      <c r="B18" s="3">
        <v>3.441588237306096</v>
      </c>
      <c r="C18" s="2">
        <v>66.340574915676257</v>
      </c>
      <c r="D18" s="1">
        <v>2.4948461086784777</v>
      </c>
      <c r="E18" s="1">
        <f t="shared" si="0"/>
        <v>16.585143728919064</v>
      </c>
      <c r="F18" s="9">
        <f t="shared" si="1"/>
        <v>50</v>
      </c>
      <c r="G18" s="12">
        <v>0</v>
      </c>
      <c r="H18" s="30">
        <f t="shared" si="2"/>
        <v>33.414856271080936</v>
      </c>
      <c r="I18" s="31">
        <f t="shared" si="3"/>
        <v>9.7091383300509015</v>
      </c>
      <c r="J18" s="34">
        <f t="shared" si="4"/>
        <v>-33.067108014085534</v>
      </c>
    </row>
    <row r="19" spans="1:10" x14ac:dyDescent="0.3">
      <c r="A19">
        <v>1035</v>
      </c>
      <c r="B19" s="3">
        <v>6.5297033608495365</v>
      </c>
      <c r="C19" s="2">
        <v>2.054150321596504E-2</v>
      </c>
      <c r="D19" s="1">
        <v>1.3756516629534754</v>
      </c>
      <c r="E19" s="1">
        <f t="shared" si="0"/>
        <v>5.13537580399126E-3</v>
      </c>
      <c r="F19" s="9">
        <f t="shared" si="1"/>
        <v>25</v>
      </c>
      <c r="G19" s="12">
        <v>0</v>
      </c>
      <c r="H19" s="30">
        <f t="shared" si="2"/>
        <v>24.994864624196008</v>
      </c>
      <c r="I19" s="31">
        <f t="shared" si="3"/>
        <v>3.8278713814258314</v>
      </c>
      <c r="J19" s="34">
        <f t="shared" si="4"/>
        <v>-39.596811374935072</v>
      </c>
    </row>
    <row r="20" spans="1:10" x14ac:dyDescent="0.3">
      <c r="A20">
        <v>954</v>
      </c>
      <c r="B20" s="3">
        <v>3.5213995169796286</v>
      </c>
      <c r="C20" s="2">
        <v>4.1259991134545704E-2</v>
      </c>
      <c r="D20" s="1">
        <v>0.25512942873062083</v>
      </c>
      <c r="E20" s="1">
        <f t="shared" si="0"/>
        <v>1.0314997783636426E-2</v>
      </c>
      <c r="F20" s="9">
        <f>25</f>
        <v>25</v>
      </c>
      <c r="G20" s="12">
        <v>0</v>
      </c>
      <c r="H20" s="30">
        <f t="shared" si="2"/>
        <v>24.989685002216362</v>
      </c>
      <c r="I20" s="31">
        <f t="shared" si="3"/>
        <v>7.0965208240985076</v>
      </c>
      <c r="J20" s="34">
        <f t="shared" si="4"/>
        <v>-43.1182108919147</v>
      </c>
    </row>
    <row r="21" spans="1:10" x14ac:dyDescent="0.3">
      <c r="A21">
        <v>872</v>
      </c>
      <c r="B21" s="3">
        <v>5.8911859065317298</v>
      </c>
      <c r="C21" s="2">
        <v>0.32542690615354752</v>
      </c>
      <c r="D21" s="1">
        <v>0.92378802779970148</v>
      </c>
      <c r="E21" s="1">
        <f t="shared" si="0"/>
        <v>8.1356726538386881E-2</v>
      </c>
      <c r="F21" s="9">
        <f>25*ROUND(D21,0)</f>
        <v>25</v>
      </c>
      <c r="G21" s="12">
        <v>0</v>
      </c>
      <c r="H21" s="30">
        <f t="shared" si="2"/>
        <v>24.918643273461612</v>
      </c>
      <c r="I21" s="31">
        <f t="shared" si="3"/>
        <v>4.2298178446267647</v>
      </c>
      <c r="J21" s="34">
        <f t="shared" si="4"/>
        <v>-49.009396798446431</v>
      </c>
    </row>
    <row r="22" spans="1:10" x14ac:dyDescent="0.3">
      <c r="A22">
        <v>802</v>
      </c>
      <c r="B22" s="3">
        <v>7.1043214039770586</v>
      </c>
      <c r="C22" s="2">
        <v>0.39843641945495056</v>
      </c>
      <c r="D22" s="1">
        <v>1.3545336572317539</v>
      </c>
      <c r="E22" s="1">
        <f t="shared" si="0"/>
        <v>9.9609104863737641E-2</v>
      </c>
      <c r="F22" s="9">
        <f>25*ROUND(D22,0)</f>
        <v>25</v>
      </c>
      <c r="G22" s="12">
        <v>0</v>
      </c>
      <c r="H22" s="30">
        <f t="shared" si="2"/>
        <v>24.900390895136262</v>
      </c>
      <c r="I22" s="31">
        <f t="shared" si="3"/>
        <v>3.5049640182659552</v>
      </c>
      <c r="J22" s="34">
        <f t="shared" si="4"/>
        <v>-56.113718202423492</v>
      </c>
    </row>
    <row r="23" spans="1:10" x14ac:dyDescent="0.3">
      <c r="A23">
        <v>207</v>
      </c>
      <c r="B23" s="3">
        <v>0.53226354816753751</v>
      </c>
      <c r="C23" s="2">
        <v>36.389595342580009</v>
      </c>
      <c r="D23" s="1">
        <v>0.55340951299649488</v>
      </c>
      <c r="E23" s="1">
        <f t="shared" si="0"/>
        <v>9.0973988356450022</v>
      </c>
      <c r="F23" s="9">
        <f>25*ROUND(D23,0)</f>
        <v>25</v>
      </c>
      <c r="G23" s="12">
        <v>0</v>
      </c>
      <c r="H23" s="30">
        <f t="shared" si="2"/>
        <v>15.902601164354998</v>
      </c>
      <c r="I23" s="31">
        <f t="shared" si="3"/>
        <v>29.877306494318539</v>
      </c>
      <c r="J23" s="34">
        <f t="shared" si="4"/>
        <v>-56.645981750591027</v>
      </c>
    </row>
    <row r="24" spans="1:10" x14ac:dyDescent="0.3">
      <c r="A24">
        <v>91</v>
      </c>
      <c r="B24" s="3">
        <v>0.33735976863779937</v>
      </c>
      <c r="C24" s="2">
        <v>47.435302492539634</v>
      </c>
      <c r="D24" s="1">
        <v>1.403178780418642</v>
      </c>
      <c r="E24" s="1">
        <f t="shared" si="0"/>
        <v>11.858825623134909</v>
      </c>
      <c r="F24" s="9">
        <f>25*ROUND(D24,0)</f>
        <v>25</v>
      </c>
      <c r="G24" s="12">
        <v>0</v>
      </c>
      <c r="H24" s="30">
        <f t="shared" si="2"/>
        <v>13.141174376865091</v>
      </c>
      <c r="I24" s="31">
        <f t="shared" si="3"/>
        <v>38.952997952088033</v>
      </c>
      <c r="J24" s="34">
        <f t="shared" si="4"/>
        <v>-56.983341519228823</v>
      </c>
    </row>
    <row r="25" spans="1:10" x14ac:dyDescent="0.3">
      <c r="A25">
        <v>1098</v>
      </c>
      <c r="B25" s="3">
        <v>0.69534260741033416</v>
      </c>
      <c r="C25" s="2">
        <v>48.204808004424237</v>
      </c>
      <c r="D25" s="1">
        <v>0.31486619023461765</v>
      </c>
      <c r="E25" s="1">
        <f t="shared" si="0"/>
        <v>12.051202001106059</v>
      </c>
      <c r="F25" s="9">
        <v>25</v>
      </c>
      <c r="G25" s="12">
        <v>0</v>
      </c>
      <c r="H25" s="30">
        <f t="shared" si="2"/>
        <v>12.948797998893941</v>
      </c>
      <c r="I25" s="31">
        <f t="shared" si="3"/>
        <v>18.622184029710439</v>
      </c>
      <c r="J25" s="34">
        <f t="shared" si="4"/>
        <v>-57.678684126639155</v>
      </c>
    </row>
    <row r="26" spans="1:10" x14ac:dyDescent="0.3">
      <c r="A26">
        <v>1104</v>
      </c>
      <c r="B26" s="3">
        <v>2.4110866230520589</v>
      </c>
      <c r="C26" s="2">
        <v>87.68549569993786</v>
      </c>
      <c r="D26" s="1">
        <v>1.2292350199888231</v>
      </c>
      <c r="E26" s="1">
        <f t="shared" si="0"/>
        <v>21.921373924984465</v>
      </c>
      <c r="F26" s="9">
        <f t="shared" ref="F26:F31" si="5">25*ROUND(D26,0)</f>
        <v>25</v>
      </c>
      <c r="G26" s="12">
        <v>0</v>
      </c>
      <c r="H26" s="30">
        <f t="shared" si="2"/>
        <v>3.078626075015535</v>
      </c>
      <c r="I26" s="31">
        <f t="shared" si="3"/>
        <v>1.2768624924468601</v>
      </c>
      <c r="J26" s="34">
        <f t="shared" si="4"/>
        <v>-60.089770749691212</v>
      </c>
    </row>
    <row r="27" spans="1:10" x14ac:dyDescent="0.3">
      <c r="A27">
        <v>755</v>
      </c>
      <c r="B27" s="3">
        <v>0.53430713571528288</v>
      </c>
      <c r="C27" s="2">
        <v>88.099969932523493</v>
      </c>
      <c r="D27" s="1">
        <v>1.2079509469533682</v>
      </c>
      <c r="E27" s="1">
        <f t="shared" si="0"/>
        <v>22.024992483130873</v>
      </c>
      <c r="F27" s="9">
        <f t="shared" si="5"/>
        <v>25</v>
      </c>
      <c r="G27" s="12">
        <v>0</v>
      </c>
      <c r="H27" s="30">
        <f t="shared" si="2"/>
        <v>2.9750075168691268</v>
      </c>
      <c r="I27" s="31">
        <f t="shared" si="3"/>
        <v>5.5679726472049662</v>
      </c>
      <c r="J27" s="34">
        <f t="shared" si="4"/>
        <v>-60.624077885406493</v>
      </c>
    </row>
    <row r="28" spans="1:10" x14ac:dyDescent="0.3">
      <c r="A28">
        <v>707</v>
      </c>
      <c r="B28" s="3">
        <v>0.42070180467416507</v>
      </c>
      <c r="C28" s="2">
        <v>90.364466751957792</v>
      </c>
      <c r="D28" s="1">
        <v>0.68573498692666646</v>
      </c>
      <c r="E28" s="1">
        <f t="shared" si="0"/>
        <v>22.591116687989448</v>
      </c>
      <c r="F28" s="9">
        <f t="shared" si="5"/>
        <v>25</v>
      </c>
      <c r="G28" s="12">
        <v>0</v>
      </c>
      <c r="H28" s="30">
        <f t="shared" si="2"/>
        <v>2.4088833120105519</v>
      </c>
      <c r="I28" s="31">
        <f t="shared" si="3"/>
        <v>5.7258687394418004</v>
      </c>
      <c r="J28" s="34">
        <f t="shared" si="4"/>
        <v>-61.044779690080659</v>
      </c>
    </row>
    <row r="29" spans="1:10" x14ac:dyDescent="0.3">
      <c r="A29">
        <v>971</v>
      </c>
      <c r="B29" s="3">
        <v>0.33898337185350957</v>
      </c>
      <c r="C29" s="2">
        <v>91.732859570614224</v>
      </c>
      <c r="D29" s="1">
        <v>0.64675650793850092</v>
      </c>
      <c r="E29" s="1">
        <f t="shared" si="0"/>
        <v>22.933214892653556</v>
      </c>
      <c r="F29" s="9">
        <f t="shared" si="5"/>
        <v>25</v>
      </c>
      <c r="G29" s="12">
        <v>0</v>
      </c>
      <c r="H29" s="30">
        <f t="shared" si="2"/>
        <v>2.0667851073464441</v>
      </c>
      <c r="I29" s="31">
        <f t="shared" si="3"/>
        <v>6.0970102929992613</v>
      </c>
      <c r="J29" s="34">
        <f t="shared" si="4"/>
        <v>-61.383763061934168</v>
      </c>
    </row>
    <row r="30" spans="1:10" x14ac:dyDescent="0.3">
      <c r="A30">
        <v>962</v>
      </c>
      <c r="B30" s="3">
        <v>0.3621252484718851</v>
      </c>
      <c r="C30" s="2">
        <v>95.408128218027827</v>
      </c>
      <c r="D30" s="1">
        <v>0.61690368932313355</v>
      </c>
      <c r="E30" s="1">
        <f t="shared" si="0"/>
        <v>23.852032054506957</v>
      </c>
      <c r="F30" s="9">
        <f t="shared" si="5"/>
        <v>25</v>
      </c>
      <c r="G30" s="12">
        <v>0</v>
      </c>
      <c r="H30" s="30">
        <f t="shared" si="2"/>
        <v>1.1479679454930434</v>
      </c>
      <c r="I30" s="31">
        <f t="shared" si="3"/>
        <v>3.1700853512349609</v>
      </c>
      <c r="J30" s="34">
        <f t="shared" si="4"/>
        <v>-61.745888310406052</v>
      </c>
    </row>
    <row r="31" spans="1:10" x14ac:dyDescent="0.3">
      <c r="A31">
        <v>762</v>
      </c>
      <c r="B31" s="3">
        <v>0.45024089787638277</v>
      </c>
      <c r="C31" s="2">
        <v>99.337194752892017</v>
      </c>
      <c r="D31" s="1">
        <v>1.2038968510307821</v>
      </c>
      <c r="E31" s="1">
        <f t="shared" si="0"/>
        <v>24.834298688223004</v>
      </c>
      <c r="F31" s="9">
        <f t="shared" si="5"/>
        <v>25</v>
      </c>
      <c r="G31" s="12">
        <v>0</v>
      </c>
      <c r="H31" s="30">
        <f t="shared" si="2"/>
        <v>0.16570131177699565</v>
      </c>
      <c r="I31" s="31">
        <f t="shared" si="3"/>
        <v>0.36802812129805734</v>
      </c>
      <c r="J31" s="34">
        <f t="shared" si="4"/>
        <v>-62.196129208282436</v>
      </c>
    </row>
  </sheetData>
  <sortState xmlns:xlrd2="http://schemas.microsoft.com/office/spreadsheetml/2017/richdata2" ref="A2:M31">
    <sortCondition descending="1" ref="F2:F31"/>
    <sortCondition ref="E2:E31"/>
    <sortCondition ref="B2:B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E69C-8DF9-49C6-BCBD-3D1319441532}">
  <sheetPr codeName="Sheet7"/>
  <dimension ref="A1:O31"/>
  <sheetViews>
    <sheetView workbookViewId="0">
      <selection activeCell="L1" sqref="L1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2" max="12" width="45.88671875" customWidth="1"/>
    <col min="13" max="13" width="28.21875" customWidth="1"/>
  </cols>
  <sheetData>
    <row r="1" spans="1:15" x14ac:dyDescent="0.3">
      <c r="A1" s="4" t="s">
        <v>0</v>
      </c>
      <c r="B1" s="5" t="s">
        <v>1</v>
      </c>
      <c r="C1" s="6" t="s">
        <v>2</v>
      </c>
      <c r="D1" s="4" t="s">
        <v>3</v>
      </c>
      <c r="E1" s="4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L1" s="15" t="s">
        <v>28</v>
      </c>
      <c r="M1" s="4"/>
      <c r="N1" s="4"/>
      <c r="O1" s="4"/>
    </row>
    <row r="2" spans="1:15" x14ac:dyDescent="0.3">
      <c r="A2">
        <v>982</v>
      </c>
      <c r="B2" s="3">
        <v>0.33735976863779937</v>
      </c>
      <c r="C2" s="2">
        <v>57.704951339070263</v>
      </c>
      <c r="D2" s="1">
        <v>2.9035709185058072</v>
      </c>
      <c r="E2" s="1">
        <f t="shared" ref="E2:E31" si="0">0.25*C2</f>
        <v>14.426237834767566</v>
      </c>
      <c r="F2" s="9">
        <f t="shared" ref="F2:F25" si="1">25*ROUND(D2,0)</f>
        <v>75</v>
      </c>
      <c r="G2" s="12">
        <v>1</v>
      </c>
      <c r="H2" s="30">
        <f>F2-E2</f>
        <v>60.573762165232438</v>
      </c>
      <c r="I2" s="31">
        <f>H2/B2</f>
        <v>179.55241791224501</v>
      </c>
      <c r="J2" s="32">
        <f>50-B2</f>
        <v>49.662640231362204</v>
      </c>
    </row>
    <row r="3" spans="1:15" x14ac:dyDescent="0.3">
      <c r="A3">
        <v>35</v>
      </c>
      <c r="B3" s="3">
        <v>0.43645018317542084</v>
      </c>
      <c r="C3" s="2">
        <v>78.177645639745492</v>
      </c>
      <c r="D3" s="1">
        <v>2.746872613905055</v>
      </c>
      <c r="E3" s="1">
        <f t="shared" si="0"/>
        <v>19.544411409936373</v>
      </c>
      <c r="F3" s="9">
        <f t="shared" si="1"/>
        <v>75</v>
      </c>
      <c r="G3" s="12">
        <v>1</v>
      </c>
      <c r="H3" s="30">
        <f t="shared" ref="H3:H31" si="2">F3-E3</f>
        <v>55.455588590063627</v>
      </c>
      <c r="I3" s="31">
        <f t="shared" ref="I3:I31" si="3">H3/B3</f>
        <v>127.06052311994233</v>
      </c>
      <c r="J3" s="32">
        <f>J2-B3</f>
        <v>49.22619004818678</v>
      </c>
      <c r="L3" s="10" t="s">
        <v>8</v>
      </c>
      <c r="M3" s="11">
        <f>SUMPRODUCT(G2:G31,E2:E31)</f>
        <v>235.41310706020653</v>
      </c>
    </row>
    <row r="4" spans="1:15" x14ac:dyDescent="0.3">
      <c r="A4">
        <v>1044</v>
      </c>
      <c r="B4" s="3">
        <v>0.5610562758446358</v>
      </c>
      <c r="C4" s="2">
        <v>84.301423961499964</v>
      </c>
      <c r="D4" s="1">
        <v>2.6492622052295749</v>
      </c>
      <c r="E4" s="1">
        <f t="shared" si="0"/>
        <v>21.075355990374991</v>
      </c>
      <c r="F4" s="9">
        <f t="shared" si="1"/>
        <v>75</v>
      </c>
      <c r="G4" s="12">
        <v>1</v>
      </c>
      <c r="H4" s="30">
        <f t="shared" si="2"/>
        <v>53.924644009625013</v>
      </c>
      <c r="I4" s="31">
        <f t="shared" si="3"/>
        <v>96.112718690196928</v>
      </c>
      <c r="J4" s="32">
        <f t="shared" ref="J4:J31" si="4">J3-B4</f>
        <v>48.665133772342145</v>
      </c>
      <c r="L4" s="10" t="s">
        <v>9</v>
      </c>
      <c r="M4" s="11">
        <f>SUM(F2:F31)-SUMPRODUCT(G2:G31,F2:F31)</f>
        <v>425</v>
      </c>
    </row>
    <row r="5" spans="1:15" x14ac:dyDescent="0.3">
      <c r="A5">
        <v>1091</v>
      </c>
      <c r="B5" s="3">
        <v>0.92553085588797601</v>
      </c>
      <c r="C5" s="2">
        <v>88.661022343278077</v>
      </c>
      <c r="D5" s="1">
        <v>2.66143771994926</v>
      </c>
      <c r="E5" s="1">
        <f t="shared" si="0"/>
        <v>22.165255585819519</v>
      </c>
      <c r="F5" s="9">
        <f t="shared" si="1"/>
        <v>75</v>
      </c>
      <c r="G5" s="12">
        <v>1</v>
      </c>
      <c r="H5" s="30">
        <f t="shared" si="2"/>
        <v>52.834744414180477</v>
      </c>
      <c r="I5" s="31">
        <f t="shared" si="3"/>
        <v>57.085881122233992</v>
      </c>
      <c r="J5" s="32">
        <f t="shared" si="4"/>
        <v>47.739602916454167</v>
      </c>
      <c r="L5" s="10" t="s">
        <v>6</v>
      </c>
      <c r="M5" s="19">
        <f>SUM(M3:M4)</f>
        <v>660.41310706020658</v>
      </c>
    </row>
    <row r="6" spans="1:15" x14ac:dyDescent="0.3">
      <c r="A6">
        <v>1106</v>
      </c>
      <c r="B6" s="3">
        <v>2.9859893627222291</v>
      </c>
      <c r="C6" s="2">
        <v>82.198983453072742</v>
      </c>
      <c r="D6" s="1">
        <v>2.8706130768340863</v>
      </c>
      <c r="E6" s="1">
        <f t="shared" si="0"/>
        <v>20.549745863268186</v>
      </c>
      <c r="F6" s="9">
        <f t="shared" si="1"/>
        <v>75</v>
      </c>
      <c r="G6" s="12">
        <v>1</v>
      </c>
      <c r="H6" s="30">
        <f t="shared" si="2"/>
        <v>54.450254136731814</v>
      </c>
      <c r="I6" s="31">
        <f t="shared" si="3"/>
        <v>18.235247190261688</v>
      </c>
      <c r="J6" s="32">
        <f t="shared" si="4"/>
        <v>44.753613553731938</v>
      </c>
      <c r="L6" s="10" t="s">
        <v>14</v>
      </c>
      <c r="M6" s="10">
        <f>COUNTIF(G2:G31,"&gt;0")</f>
        <v>17</v>
      </c>
    </row>
    <row r="7" spans="1:15" x14ac:dyDescent="0.3">
      <c r="A7">
        <v>1101</v>
      </c>
      <c r="B7" s="3">
        <v>3.7797107747075431</v>
      </c>
      <c r="C7" s="2">
        <v>72.776842359512912</v>
      </c>
      <c r="D7" s="1">
        <v>2.7091732189573881</v>
      </c>
      <c r="E7" s="1">
        <f t="shared" si="0"/>
        <v>18.194210589878228</v>
      </c>
      <c r="F7" s="9">
        <f t="shared" si="1"/>
        <v>75</v>
      </c>
      <c r="G7" s="12">
        <v>1</v>
      </c>
      <c r="H7" s="30">
        <f t="shared" si="2"/>
        <v>56.805789410121776</v>
      </c>
      <c r="I7" s="31">
        <f t="shared" si="3"/>
        <v>15.029136565222283</v>
      </c>
      <c r="J7" s="32">
        <f t="shared" si="4"/>
        <v>40.973902779024392</v>
      </c>
      <c r="L7" s="10" t="s">
        <v>15</v>
      </c>
      <c r="M7" s="17">
        <f>SUMPRODUCT(G2:G31,B2:B31)</f>
        <v>50.767987569845211</v>
      </c>
    </row>
    <row r="8" spans="1:15" x14ac:dyDescent="0.3">
      <c r="A8">
        <v>1097</v>
      </c>
      <c r="B8" s="3">
        <v>4.3030294604863446</v>
      </c>
      <c r="C8" s="2">
        <v>99.222808457063948</v>
      </c>
      <c r="D8" s="1">
        <v>2.8395750199815346</v>
      </c>
      <c r="E8" s="1">
        <f t="shared" si="0"/>
        <v>24.805702114265987</v>
      </c>
      <c r="F8" s="9">
        <f t="shared" si="1"/>
        <v>75</v>
      </c>
      <c r="G8" s="12">
        <v>1</v>
      </c>
      <c r="H8" s="30">
        <f t="shared" si="2"/>
        <v>50.194297885734017</v>
      </c>
      <c r="I8" s="31">
        <f t="shared" si="3"/>
        <v>11.664874327878961</v>
      </c>
      <c r="J8" s="32">
        <f t="shared" si="4"/>
        <v>36.67087331853805</v>
      </c>
      <c r="L8" s="10" t="s">
        <v>16</v>
      </c>
      <c r="M8" s="38">
        <f>(SUMPRODUCT(G2:G31,D2:D31)/SUM(D2:D31))</f>
        <v>0.69810174827403604</v>
      </c>
    </row>
    <row r="9" spans="1:15" x14ac:dyDescent="0.3">
      <c r="A9">
        <v>1100</v>
      </c>
      <c r="B9" s="3">
        <v>6.6708003843085297</v>
      </c>
      <c r="C9" s="2">
        <v>9.6869700740117146</v>
      </c>
      <c r="D9" s="1">
        <v>3.2266163247432469</v>
      </c>
      <c r="E9" s="1">
        <f t="shared" si="0"/>
        <v>2.4217425185029287</v>
      </c>
      <c r="F9" s="9">
        <f t="shared" si="1"/>
        <v>75</v>
      </c>
      <c r="G9" s="12">
        <v>1</v>
      </c>
      <c r="H9" s="30">
        <f t="shared" si="2"/>
        <v>72.578257481497076</v>
      </c>
      <c r="I9" s="31">
        <f t="shared" si="3"/>
        <v>10.879992399745637</v>
      </c>
      <c r="J9" s="35">
        <f t="shared" si="4"/>
        <v>30.000072934229522</v>
      </c>
      <c r="L9" s="10" t="s">
        <v>17</v>
      </c>
      <c r="M9" s="24">
        <f>(M5-660.39)/660.39</f>
        <v>3.4990021361011466E-5</v>
      </c>
    </row>
    <row r="10" spans="1:15" x14ac:dyDescent="0.3">
      <c r="A10">
        <v>1109</v>
      </c>
      <c r="B10" s="3">
        <v>7.3420481814718386</v>
      </c>
      <c r="C10" s="2">
        <v>0.8047632978806174</v>
      </c>
      <c r="D10" s="1">
        <v>2.5271032160928897</v>
      </c>
      <c r="E10" s="1">
        <f t="shared" si="0"/>
        <v>0.20119082447015435</v>
      </c>
      <c r="F10" s="9">
        <f t="shared" si="1"/>
        <v>75</v>
      </c>
      <c r="G10" s="12">
        <v>1</v>
      </c>
      <c r="H10" s="30">
        <f t="shared" si="2"/>
        <v>74.79880917552984</v>
      </c>
      <c r="I10" s="31">
        <f t="shared" si="3"/>
        <v>10.187730634115118</v>
      </c>
      <c r="J10" s="35">
        <f t="shared" si="4"/>
        <v>22.658024752757683</v>
      </c>
      <c r="L10" s="10" t="s">
        <v>37</v>
      </c>
      <c r="M10" s="37">
        <f>SUM(I2:I14)</f>
        <v>566.17553428987412</v>
      </c>
    </row>
    <row r="11" spans="1:15" x14ac:dyDescent="0.3">
      <c r="A11">
        <v>697</v>
      </c>
      <c r="B11" s="3">
        <v>9.5989039155543345</v>
      </c>
      <c r="C11" s="2">
        <v>0.17494846771503036</v>
      </c>
      <c r="D11" s="1">
        <v>2.6995400017259548</v>
      </c>
      <c r="E11" s="1">
        <f t="shared" si="0"/>
        <v>4.3737116928757591E-2</v>
      </c>
      <c r="F11" s="9">
        <f t="shared" si="1"/>
        <v>75</v>
      </c>
      <c r="G11" s="12">
        <v>1</v>
      </c>
      <c r="H11" s="30">
        <f t="shared" si="2"/>
        <v>74.956262883071247</v>
      </c>
      <c r="I11" s="31">
        <f t="shared" si="3"/>
        <v>7.8088356277439139</v>
      </c>
      <c r="J11" s="35">
        <f t="shared" si="4"/>
        <v>13.059120837203348</v>
      </c>
      <c r="L11" s="10" t="s">
        <v>40</v>
      </c>
      <c r="M11" s="22">
        <f>M10/717.77</f>
        <v>0.78879799140375628</v>
      </c>
    </row>
    <row r="12" spans="1:15" x14ac:dyDescent="0.3">
      <c r="A12">
        <v>1094</v>
      </c>
      <c r="B12" s="3">
        <v>3.441588237306096</v>
      </c>
      <c r="C12" s="2">
        <v>66.340574915676257</v>
      </c>
      <c r="D12" s="1">
        <v>2.4948461086784777</v>
      </c>
      <c r="E12" s="1">
        <f t="shared" si="0"/>
        <v>16.585143728919064</v>
      </c>
      <c r="F12" s="9">
        <f t="shared" si="1"/>
        <v>50</v>
      </c>
      <c r="G12" s="12">
        <v>1</v>
      </c>
      <c r="H12" s="30">
        <f t="shared" si="2"/>
        <v>33.414856271080936</v>
      </c>
      <c r="I12" s="31">
        <f t="shared" si="3"/>
        <v>9.7091383300509015</v>
      </c>
      <c r="J12" s="35">
        <f t="shared" si="4"/>
        <v>9.6175325998972525</v>
      </c>
    </row>
    <row r="13" spans="1:15" x14ac:dyDescent="0.3">
      <c r="A13">
        <v>1115</v>
      </c>
      <c r="B13" s="3">
        <v>3.531454338686749</v>
      </c>
      <c r="C13" s="2">
        <v>28.833813284378884</v>
      </c>
      <c r="D13" s="1">
        <v>2.4577556619557446</v>
      </c>
      <c r="E13" s="1">
        <f t="shared" si="0"/>
        <v>7.208453321094721</v>
      </c>
      <c r="F13" s="9">
        <f t="shared" si="1"/>
        <v>50</v>
      </c>
      <c r="G13" s="12">
        <v>1</v>
      </c>
      <c r="H13" s="30">
        <f t="shared" si="2"/>
        <v>42.791546678905277</v>
      </c>
      <c r="I13" s="31">
        <f t="shared" si="3"/>
        <v>12.117258946300939</v>
      </c>
      <c r="J13" s="35">
        <f t="shared" si="4"/>
        <v>6.0860782612105035</v>
      </c>
    </row>
    <row r="14" spans="1:15" x14ac:dyDescent="0.3">
      <c r="A14">
        <v>570</v>
      </c>
      <c r="B14" s="3">
        <v>4.641911641886189</v>
      </c>
      <c r="C14" s="2">
        <v>0.7361126155005504</v>
      </c>
      <c r="D14" s="1">
        <v>1.9311091598096972</v>
      </c>
      <c r="E14" s="1">
        <f t="shared" si="0"/>
        <v>0.1840281538751376</v>
      </c>
      <c r="F14" s="9">
        <f t="shared" si="1"/>
        <v>50</v>
      </c>
      <c r="G14" s="12">
        <v>1</v>
      </c>
      <c r="H14" s="30">
        <f t="shared" si="2"/>
        <v>49.81597184612486</v>
      </c>
      <c r="I14" s="31">
        <f t="shared" si="3"/>
        <v>10.731779423936363</v>
      </c>
      <c r="J14" s="35">
        <f t="shared" si="4"/>
        <v>1.4441666193243146</v>
      </c>
    </row>
    <row r="15" spans="1:15" x14ac:dyDescent="0.3">
      <c r="A15">
        <v>790</v>
      </c>
      <c r="B15" s="3">
        <v>7.8201937950803906</v>
      </c>
      <c r="C15" s="2">
        <v>3.3189732381488923E-2</v>
      </c>
      <c r="D15" s="1">
        <v>1.8528444424142394</v>
      </c>
      <c r="E15" s="1">
        <f t="shared" si="0"/>
        <v>8.2974330953722308E-3</v>
      </c>
      <c r="F15" s="9">
        <f t="shared" si="1"/>
        <v>50</v>
      </c>
      <c r="G15" s="12">
        <v>0</v>
      </c>
      <c r="H15" s="30">
        <f t="shared" si="2"/>
        <v>49.991702566904628</v>
      </c>
      <c r="I15" s="31">
        <f t="shared" si="3"/>
        <v>6.3926424174237129</v>
      </c>
      <c r="J15" s="34">
        <f t="shared" si="4"/>
        <v>-6.376027175756076</v>
      </c>
      <c r="M15" s="2"/>
    </row>
    <row r="16" spans="1:15" x14ac:dyDescent="0.3">
      <c r="A16">
        <v>836</v>
      </c>
      <c r="B16" s="3">
        <v>8.2176486062281029</v>
      </c>
      <c r="C16" s="2">
        <v>0.17799302280316898</v>
      </c>
      <c r="D16" s="1">
        <v>1.7590900459121823</v>
      </c>
      <c r="E16" s="1">
        <f t="shared" si="0"/>
        <v>4.4498255700792244E-2</v>
      </c>
      <c r="F16" s="9">
        <f t="shared" si="1"/>
        <v>50</v>
      </c>
      <c r="G16" s="12">
        <v>0</v>
      </c>
      <c r="H16" s="30">
        <f t="shared" si="2"/>
        <v>49.955501744299205</v>
      </c>
      <c r="I16" s="31">
        <f t="shared" si="3"/>
        <v>6.0790506065735466</v>
      </c>
      <c r="J16" s="34">
        <f t="shared" si="4"/>
        <v>-14.593675781984178</v>
      </c>
    </row>
    <row r="17" spans="1:13" x14ac:dyDescent="0.3">
      <c r="A17">
        <v>1014</v>
      </c>
      <c r="B17" s="3">
        <v>9.0506776562361004</v>
      </c>
      <c r="C17" s="2">
        <v>0.71198952660367354</v>
      </c>
      <c r="D17" s="1">
        <v>2.3017811631630205</v>
      </c>
      <c r="E17" s="1">
        <f t="shared" si="0"/>
        <v>0.17799738165091838</v>
      </c>
      <c r="F17" s="9">
        <f t="shared" si="1"/>
        <v>50</v>
      </c>
      <c r="G17" s="12">
        <v>0</v>
      </c>
      <c r="H17" s="30">
        <f t="shared" si="2"/>
        <v>49.822002618349082</v>
      </c>
      <c r="I17" s="31">
        <f t="shared" si="3"/>
        <v>5.5047814661723935</v>
      </c>
      <c r="J17" s="34">
        <f t="shared" si="4"/>
        <v>-23.644353438220278</v>
      </c>
    </row>
    <row r="18" spans="1:13" x14ac:dyDescent="0.3">
      <c r="A18">
        <v>631</v>
      </c>
      <c r="B18" s="3">
        <v>9.4227545758652536</v>
      </c>
      <c r="C18" s="2">
        <v>0.40188261642927214</v>
      </c>
      <c r="D18" s="1">
        <v>2.0276600868965624</v>
      </c>
      <c r="E18" s="1">
        <f t="shared" si="0"/>
        <v>0.10047065410731804</v>
      </c>
      <c r="F18" s="9">
        <f t="shared" si="1"/>
        <v>50</v>
      </c>
      <c r="G18" s="12">
        <v>0</v>
      </c>
      <c r="H18" s="30">
        <f t="shared" si="2"/>
        <v>49.899529345892681</v>
      </c>
      <c r="I18" s="31">
        <f t="shared" si="3"/>
        <v>5.2956414118756356</v>
      </c>
      <c r="J18" s="34">
        <f t="shared" si="4"/>
        <v>-33.067108014085534</v>
      </c>
    </row>
    <row r="19" spans="1:13" x14ac:dyDescent="0.3">
      <c r="A19">
        <v>91</v>
      </c>
      <c r="B19" s="3">
        <v>0.33735976863779937</v>
      </c>
      <c r="C19" s="2">
        <v>47.435302492539634</v>
      </c>
      <c r="D19" s="1">
        <v>1.403178780418642</v>
      </c>
      <c r="E19" s="1">
        <f t="shared" si="0"/>
        <v>11.858825623134909</v>
      </c>
      <c r="F19" s="9">
        <f t="shared" si="1"/>
        <v>25</v>
      </c>
      <c r="G19" s="12">
        <v>0</v>
      </c>
      <c r="H19" s="30">
        <f t="shared" si="2"/>
        <v>13.141174376865091</v>
      </c>
      <c r="I19" s="31">
        <f t="shared" si="3"/>
        <v>38.952997952088033</v>
      </c>
      <c r="J19" s="34">
        <f t="shared" si="4"/>
        <v>-33.40446778272333</v>
      </c>
    </row>
    <row r="20" spans="1:13" x14ac:dyDescent="0.3">
      <c r="A20">
        <v>971</v>
      </c>
      <c r="B20" s="3">
        <v>0.33898337185350957</v>
      </c>
      <c r="C20" s="2">
        <v>91.732859570614224</v>
      </c>
      <c r="D20" s="1">
        <v>0.64675650793850092</v>
      </c>
      <c r="E20" s="1">
        <f t="shared" si="0"/>
        <v>22.933214892653556</v>
      </c>
      <c r="F20" s="9">
        <f t="shared" si="1"/>
        <v>25</v>
      </c>
      <c r="G20" s="12">
        <v>0</v>
      </c>
      <c r="H20" s="30">
        <f t="shared" si="2"/>
        <v>2.0667851073464441</v>
      </c>
      <c r="I20" s="31">
        <f t="shared" si="3"/>
        <v>6.0970102929992613</v>
      </c>
      <c r="J20" s="34">
        <f t="shared" si="4"/>
        <v>-33.743451154576839</v>
      </c>
    </row>
    <row r="21" spans="1:13" x14ac:dyDescent="0.3">
      <c r="A21">
        <v>962</v>
      </c>
      <c r="B21" s="3">
        <v>0.3621252484718851</v>
      </c>
      <c r="C21" s="2">
        <v>95.408128218027827</v>
      </c>
      <c r="D21" s="1">
        <v>0.61690368932313355</v>
      </c>
      <c r="E21" s="1">
        <f t="shared" si="0"/>
        <v>23.852032054506957</v>
      </c>
      <c r="F21" s="9">
        <f t="shared" si="1"/>
        <v>25</v>
      </c>
      <c r="G21" s="12">
        <v>0</v>
      </c>
      <c r="H21" s="30">
        <f t="shared" si="2"/>
        <v>1.1479679454930434</v>
      </c>
      <c r="I21" s="31">
        <f t="shared" si="3"/>
        <v>3.1700853512349609</v>
      </c>
      <c r="J21" s="34">
        <f t="shared" si="4"/>
        <v>-34.105576403048723</v>
      </c>
    </row>
    <row r="22" spans="1:13" x14ac:dyDescent="0.3">
      <c r="A22">
        <v>707</v>
      </c>
      <c r="B22" s="3">
        <v>0.42070180467416507</v>
      </c>
      <c r="C22" s="2">
        <v>90.364466751957792</v>
      </c>
      <c r="D22" s="1">
        <v>0.68573498692666646</v>
      </c>
      <c r="E22" s="1">
        <f t="shared" si="0"/>
        <v>22.591116687989448</v>
      </c>
      <c r="F22" s="9">
        <f t="shared" si="1"/>
        <v>25</v>
      </c>
      <c r="G22" s="12">
        <v>0</v>
      </c>
      <c r="H22" s="30">
        <f t="shared" si="2"/>
        <v>2.4088833120105519</v>
      </c>
      <c r="I22" s="31">
        <f t="shared" si="3"/>
        <v>5.7258687394418004</v>
      </c>
      <c r="J22" s="34">
        <f t="shared" si="4"/>
        <v>-34.526278207722889</v>
      </c>
    </row>
    <row r="23" spans="1:13" x14ac:dyDescent="0.3">
      <c r="A23">
        <v>762</v>
      </c>
      <c r="B23" s="3">
        <v>0.45024089787638277</v>
      </c>
      <c r="C23" s="2">
        <v>99.337194752892017</v>
      </c>
      <c r="D23" s="1">
        <v>1.2038968510307821</v>
      </c>
      <c r="E23" s="1">
        <f t="shared" si="0"/>
        <v>24.834298688223004</v>
      </c>
      <c r="F23" s="9">
        <f t="shared" si="1"/>
        <v>25</v>
      </c>
      <c r="G23" s="12">
        <v>1</v>
      </c>
      <c r="H23" s="30">
        <f t="shared" si="2"/>
        <v>0.16570131177699565</v>
      </c>
      <c r="I23" s="31">
        <f t="shared" si="3"/>
        <v>0.36802812129805734</v>
      </c>
      <c r="J23" s="34">
        <f t="shared" si="4"/>
        <v>-34.976519105599273</v>
      </c>
    </row>
    <row r="24" spans="1:13" x14ac:dyDescent="0.3">
      <c r="A24">
        <v>207</v>
      </c>
      <c r="B24" s="3">
        <v>0.53226354816753751</v>
      </c>
      <c r="C24" s="2">
        <v>36.389595342580009</v>
      </c>
      <c r="D24" s="1">
        <v>0.55340951299649488</v>
      </c>
      <c r="E24" s="1">
        <f t="shared" si="0"/>
        <v>9.0973988356450022</v>
      </c>
      <c r="F24" s="9">
        <f t="shared" si="1"/>
        <v>25</v>
      </c>
      <c r="G24" s="12">
        <v>1</v>
      </c>
      <c r="H24" s="30">
        <f t="shared" si="2"/>
        <v>15.902601164354998</v>
      </c>
      <c r="I24" s="31">
        <f t="shared" si="3"/>
        <v>29.877306494318539</v>
      </c>
      <c r="J24" s="34">
        <f t="shared" si="4"/>
        <v>-35.508782653766808</v>
      </c>
    </row>
    <row r="25" spans="1:13" x14ac:dyDescent="0.3">
      <c r="A25">
        <v>755</v>
      </c>
      <c r="B25" s="3">
        <v>0.53430713571528288</v>
      </c>
      <c r="C25" s="2">
        <v>88.099969932523493</v>
      </c>
      <c r="D25" s="1">
        <v>1.2079509469533682</v>
      </c>
      <c r="E25" s="1">
        <f t="shared" si="0"/>
        <v>22.024992483130873</v>
      </c>
      <c r="F25" s="9">
        <f t="shared" si="1"/>
        <v>25</v>
      </c>
      <c r="G25" s="12">
        <v>1</v>
      </c>
      <c r="H25" s="30">
        <f t="shared" si="2"/>
        <v>2.9750075168691268</v>
      </c>
      <c r="I25" s="31">
        <f t="shared" si="3"/>
        <v>5.5679726472049662</v>
      </c>
      <c r="J25" s="34">
        <f t="shared" si="4"/>
        <v>-36.043089789482089</v>
      </c>
    </row>
    <row r="26" spans="1:13" x14ac:dyDescent="0.3">
      <c r="A26">
        <v>1098</v>
      </c>
      <c r="B26" s="3">
        <v>0.69534260741033416</v>
      </c>
      <c r="C26" s="2">
        <v>48.204808004424237</v>
      </c>
      <c r="D26" s="1">
        <v>0.31486619023461765</v>
      </c>
      <c r="E26" s="1">
        <f t="shared" si="0"/>
        <v>12.051202001106059</v>
      </c>
      <c r="F26" s="9">
        <v>25</v>
      </c>
      <c r="G26" s="12">
        <v>1</v>
      </c>
      <c r="H26" s="30">
        <f t="shared" si="2"/>
        <v>12.948797998893941</v>
      </c>
      <c r="I26" s="31">
        <f t="shared" si="3"/>
        <v>18.622184029710439</v>
      </c>
      <c r="J26" s="34">
        <f t="shared" si="4"/>
        <v>-36.738432396892421</v>
      </c>
    </row>
    <row r="27" spans="1:13" x14ac:dyDescent="0.3">
      <c r="A27">
        <v>1104</v>
      </c>
      <c r="B27" s="3">
        <v>2.4110866230520589</v>
      </c>
      <c r="C27" s="2">
        <v>87.68549569993786</v>
      </c>
      <c r="D27" s="1">
        <v>1.2292350199888231</v>
      </c>
      <c r="E27" s="1">
        <f t="shared" si="0"/>
        <v>21.921373924984465</v>
      </c>
      <c r="F27" s="9">
        <f>25*ROUND(D27,0)</f>
        <v>25</v>
      </c>
      <c r="G27" s="12">
        <v>0</v>
      </c>
      <c r="H27" s="30">
        <f t="shared" si="2"/>
        <v>3.078626075015535</v>
      </c>
      <c r="I27" s="31">
        <f t="shared" si="3"/>
        <v>1.2768624924468601</v>
      </c>
      <c r="J27" s="34">
        <f t="shared" si="4"/>
        <v>-39.149519019944478</v>
      </c>
    </row>
    <row r="28" spans="1:13" x14ac:dyDescent="0.3">
      <c r="A28">
        <v>954</v>
      </c>
      <c r="B28" s="3">
        <v>3.5213995169796286</v>
      </c>
      <c r="C28" s="2">
        <v>4.1259991134545704E-2</v>
      </c>
      <c r="D28" s="1">
        <v>0.25512942873062083</v>
      </c>
      <c r="E28" s="1">
        <f t="shared" si="0"/>
        <v>1.0314997783636426E-2</v>
      </c>
      <c r="F28" s="9">
        <f>25</f>
        <v>25</v>
      </c>
      <c r="G28" s="12">
        <v>0</v>
      </c>
      <c r="H28" s="30">
        <f t="shared" si="2"/>
        <v>24.989685002216362</v>
      </c>
      <c r="I28" s="31">
        <f t="shared" si="3"/>
        <v>7.0965208240985076</v>
      </c>
      <c r="J28" s="34">
        <f t="shared" si="4"/>
        <v>-42.670918536924106</v>
      </c>
      <c r="M28" s="2"/>
    </row>
    <row r="29" spans="1:13" x14ac:dyDescent="0.3">
      <c r="A29">
        <v>872</v>
      </c>
      <c r="B29" s="3">
        <v>5.8911859065317298</v>
      </c>
      <c r="C29" s="2">
        <v>0.32542690615354752</v>
      </c>
      <c r="D29" s="1">
        <v>0.92378802779970148</v>
      </c>
      <c r="E29" s="1">
        <f t="shared" si="0"/>
        <v>8.1356726538386881E-2</v>
      </c>
      <c r="F29" s="9">
        <f>25*ROUND(D29,0)</f>
        <v>25</v>
      </c>
      <c r="G29" s="12">
        <v>0</v>
      </c>
      <c r="H29" s="30">
        <f t="shared" si="2"/>
        <v>24.918643273461612</v>
      </c>
      <c r="I29" s="31">
        <f t="shared" si="3"/>
        <v>4.2298178446267647</v>
      </c>
      <c r="J29" s="34">
        <f t="shared" si="4"/>
        <v>-48.562104443455837</v>
      </c>
      <c r="M29" s="21"/>
    </row>
    <row r="30" spans="1:13" x14ac:dyDescent="0.3">
      <c r="A30">
        <v>1035</v>
      </c>
      <c r="B30" s="3">
        <v>6.5297033608495365</v>
      </c>
      <c r="C30" s="2">
        <v>2.054150321596504E-2</v>
      </c>
      <c r="D30" s="1">
        <v>1.3756516629534754</v>
      </c>
      <c r="E30" s="1">
        <f t="shared" si="0"/>
        <v>5.13537580399126E-3</v>
      </c>
      <c r="F30" s="9">
        <f>25*ROUND(D30,0)</f>
        <v>25</v>
      </c>
      <c r="G30" s="12">
        <v>0</v>
      </c>
      <c r="H30" s="30">
        <f t="shared" si="2"/>
        <v>24.994864624196008</v>
      </c>
      <c r="I30" s="31">
        <f t="shared" si="3"/>
        <v>3.8278713814258314</v>
      </c>
      <c r="J30" s="34">
        <f t="shared" si="4"/>
        <v>-55.091807804305375</v>
      </c>
    </row>
    <row r="31" spans="1:13" x14ac:dyDescent="0.3">
      <c r="A31">
        <v>802</v>
      </c>
      <c r="B31" s="3">
        <v>7.1043214039770586</v>
      </c>
      <c r="C31" s="2">
        <v>0.39843641945495056</v>
      </c>
      <c r="D31" s="1">
        <v>1.3545336572317539</v>
      </c>
      <c r="E31" s="1">
        <f t="shared" si="0"/>
        <v>9.9609104863737641E-2</v>
      </c>
      <c r="F31" s="9">
        <f>25*ROUND(D31,0)</f>
        <v>25</v>
      </c>
      <c r="G31" s="12">
        <v>0</v>
      </c>
      <c r="H31" s="30">
        <f t="shared" si="2"/>
        <v>24.900390895136262</v>
      </c>
      <c r="I31" s="31">
        <f t="shared" si="3"/>
        <v>3.5049640182659552</v>
      </c>
      <c r="J31" s="34">
        <f t="shared" si="4"/>
        <v>-62.196129208282436</v>
      </c>
    </row>
  </sheetData>
  <sortState xmlns:xlrd2="http://schemas.microsoft.com/office/spreadsheetml/2017/richdata2" ref="A2:M31">
    <sortCondition descending="1" ref="F2:F31"/>
    <sortCondition ref="B2:B3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5631C-2D95-4977-BBF4-4F2595EFEA52}">
  <sheetPr codeName="Sheet8"/>
  <dimension ref="A1:O31"/>
  <sheetViews>
    <sheetView workbookViewId="0">
      <selection activeCell="L19" sqref="L19"/>
    </sheetView>
  </sheetViews>
  <sheetFormatPr defaultRowHeight="14.4" x14ac:dyDescent="0.3"/>
  <cols>
    <col min="1" max="1" width="8.44140625" bestFit="1" customWidth="1"/>
    <col min="2" max="2" width="14.44140625" bestFit="1" customWidth="1"/>
    <col min="3" max="3" width="9.33203125" bestFit="1" customWidth="1"/>
    <col min="4" max="4" width="10.33203125" bestFit="1" customWidth="1"/>
    <col min="5" max="5" width="12" bestFit="1" customWidth="1"/>
    <col min="6" max="6" width="11.5546875" style="9" bestFit="1" customWidth="1"/>
    <col min="8" max="8" width="10.33203125" style="33" bestFit="1" customWidth="1"/>
    <col min="9" max="9" width="22.44140625" style="33" bestFit="1" customWidth="1"/>
    <col min="10" max="10" width="14.77734375" style="32" customWidth="1"/>
    <col min="11" max="11" width="4.33203125" customWidth="1"/>
    <col min="12" max="12" width="45.5546875" customWidth="1"/>
    <col min="13" max="13" width="28.21875" customWidth="1"/>
  </cols>
  <sheetData>
    <row r="1" spans="1:15" x14ac:dyDescent="0.3">
      <c r="A1" s="4" t="s">
        <v>0</v>
      </c>
      <c r="B1" s="5" t="s">
        <v>1</v>
      </c>
      <c r="C1" s="6" t="s">
        <v>2</v>
      </c>
      <c r="D1" s="4" t="s">
        <v>3</v>
      </c>
      <c r="E1" s="4" t="s">
        <v>11</v>
      </c>
      <c r="F1" s="4" t="s">
        <v>5</v>
      </c>
      <c r="G1" s="4" t="s">
        <v>7</v>
      </c>
      <c r="H1" s="28" t="s">
        <v>33</v>
      </c>
      <c r="I1" s="28" t="s">
        <v>34</v>
      </c>
      <c r="J1" s="29" t="s">
        <v>35</v>
      </c>
      <c r="L1" s="15" t="s">
        <v>29</v>
      </c>
      <c r="M1" s="4"/>
      <c r="N1" s="4"/>
      <c r="O1" s="4"/>
    </row>
    <row r="2" spans="1:15" x14ac:dyDescent="0.3">
      <c r="A2">
        <v>1100</v>
      </c>
      <c r="B2" s="3">
        <v>6.6708003843085297</v>
      </c>
      <c r="C2" s="2">
        <v>9.6869700740117146</v>
      </c>
      <c r="D2" s="1">
        <v>3.2266163247432469</v>
      </c>
      <c r="E2" s="1">
        <f t="shared" ref="E2:E31" si="0">0.25*C2</f>
        <v>2.4217425185029287</v>
      </c>
      <c r="F2" s="9">
        <f t="shared" ref="F2:F29" si="1">25*ROUND(D2,0)</f>
        <v>75</v>
      </c>
      <c r="G2" s="12">
        <v>1</v>
      </c>
      <c r="H2" s="30">
        <f>F2-E2</f>
        <v>72.578257481497076</v>
      </c>
      <c r="I2" s="31">
        <f>H2/B2</f>
        <v>10.879992399745637</v>
      </c>
      <c r="J2" s="32">
        <f>50-B2</f>
        <v>43.329199615691472</v>
      </c>
    </row>
    <row r="3" spans="1:15" x14ac:dyDescent="0.3">
      <c r="A3">
        <v>982</v>
      </c>
      <c r="B3" s="3">
        <v>0.33735976863779937</v>
      </c>
      <c r="C3" s="2">
        <v>57.704951339070263</v>
      </c>
      <c r="D3" s="1">
        <v>2.9035709185058072</v>
      </c>
      <c r="E3" s="1">
        <f t="shared" si="0"/>
        <v>14.426237834767566</v>
      </c>
      <c r="F3" s="9">
        <f t="shared" si="1"/>
        <v>75</v>
      </c>
      <c r="G3" s="12">
        <v>1</v>
      </c>
      <c r="H3" s="30">
        <f t="shared" ref="H3:H31" si="2">F3-E3</f>
        <v>60.573762165232438</v>
      </c>
      <c r="I3" s="31">
        <f t="shared" ref="I3:I31" si="3">H3/B3</f>
        <v>179.55241791224501</v>
      </c>
      <c r="J3" s="32">
        <f>J2-B3</f>
        <v>42.991839847053676</v>
      </c>
      <c r="L3" s="10" t="s">
        <v>8</v>
      </c>
      <c r="M3" s="11">
        <f>SUMPRODUCT(G2:G31,E2:E31)</f>
        <v>167.22118689822648</v>
      </c>
    </row>
    <row r="4" spans="1:15" x14ac:dyDescent="0.3">
      <c r="A4">
        <v>1106</v>
      </c>
      <c r="B4" s="3">
        <v>2.9859893627222291</v>
      </c>
      <c r="C4" s="2">
        <v>82.198983453072742</v>
      </c>
      <c r="D4" s="1">
        <v>2.8706130768340863</v>
      </c>
      <c r="E4" s="1">
        <f t="shared" si="0"/>
        <v>20.549745863268186</v>
      </c>
      <c r="F4" s="9">
        <f t="shared" si="1"/>
        <v>75</v>
      </c>
      <c r="G4" s="12">
        <v>1</v>
      </c>
      <c r="H4" s="30">
        <f t="shared" si="2"/>
        <v>54.450254136731814</v>
      </c>
      <c r="I4" s="31">
        <f t="shared" si="3"/>
        <v>18.235247190261688</v>
      </c>
      <c r="J4" s="32">
        <f t="shared" ref="J4:J31" si="4">J3-B4</f>
        <v>40.005850484331447</v>
      </c>
      <c r="L4" s="10" t="s">
        <v>9</v>
      </c>
      <c r="M4" s="11">
        <f>SUM(F2:F31)-SUMPRODUCT(G2:G31,F2:F31)</f>
        <v>575</v>
      </c>
    </row>
    <row r="5" spans="1:15" x14ac:dyDescent="0.3">
      <c r="A5">
        <v>1097</v>
      </c>
      <c r="B5" s="3">
        <v>4.3030294604863446</v>
      </c>
      <c r="C5" s="2">
        <v>99.222808457063948</v>
      </c>
      <c r="D5" s="1">
        <v>2.8395750199815346</v>
      </c>
      <c r="E5" s="1">
        <f t="shared" si="0"/>
        <v>24.805702114265987</v>
      </c>
      <c r="F5" s="9">
        <f t="shared" si="1"/>
        <v>75</v>
      </c>
      <c r="G5" s="12">
        <v>1</v>
      </c>
      <c r="H5" s="30">
        <f t="shared" si="2"/>
        <v>50.194297885734017</v>
      </c>
      <c r="I5" s="31">
        <f t="shared" si="3"/>
        <v>11.664874327878961</v>
      </c>
      <c r="J5" s="32">
        <f t="shared" si="4"/>
        <v>35.702821023845104</v>
      </c>
      <c r="L5" s="10" t="s">
        <v>6</v>
      </c>
      <c r="M5" s="19">
        <f>SUM(M3:M4)</f>
        <v>742.22118689822651</v>
      </c>
    </row>
    <row r="6" spans="1:15" x14ac:dyDescent="0.3">
      <c r="A6">
        <v>35</v>
      </c>
      <c r="B6" s="3">
        <v>0.43645018317542084</v>
      </c>
      <c r="C6" s="2">
        <v>78.177645639745492</v>
      </c>
      <c r="D6" s="1">
        <v>2.746872613905055</v>
      </c>
      <c r="E6" s="1">
        <f t="shared" si="0"/>
        <v>19.544411409936373</v>
      </c>
      <c r="F6" s="9">
        <f t="shared" si="1"/>
        <v>75</v>
      </c>
      <c r="G6" s="12">
        <v>1</v>
      </c>
      <c r="H6" s="30">
        <f t="shared" si="2"/>
        <v>55.455588590063627</v>
      </c>
      <c r="I6" s="31">
        <f t="shared" si="3"/>
        <v>127.06052311994233</v>
      </c>
      <c r="J6" s="32">
        <f t="shared" si="4"/>
        <v>35.26637084066968</v>
      </c>
      <c r="L6" s="10" t="s">
        <v>14</v>
      </c>
      <c r="M6" s="10">
        <f>COUNTIF(G2:G31,"&gt;0")</f>
        <v>12</v>
      </c>
    </row>
    <row r="7" spans="1:15" x14ac:dyDescent="0.3">
      <c r="A7">
        <v>1101</v>
      </c>
      <c r="B7" s="3">
        <v>3.7797107747075431</v>
      </c>
      <c r="C7" s="2">
        <v>72.776842359512912</v>
      </c>
      <c r="D7" s="1">
        <v>2.7091732189573881</v>
      </c>
      <c r="E7" s="1">
        <f t="shared" si="0"/>
        <v>18.194210589878228</v>
      </c>
      <c r="F7" s="9">
        <f t="shared" si="1"/>
        <v>75</v>
      </c>
      <c r="G7" s="12">
        <v>1</v>
      </c>
      <c r="H7" s="30">
        <f t="shared" si="2"/>
        <v>56.805789410121776</v>
      </c>
      <c r="I7" s="31">
        <f t="shared" si="3"/>
        <v>15.029136565222283</v>
      </c>
      <c r="J7" s="32">
        <f t="shared" si="4"/>
        <v>31.486660065962138</v>
      </c>
      <c r="L7" s="10" t="s">
        <v>15</v>
      </c>
      <c r="M7" s="17">
        <f>SUMPRODUCT(G2:G31,B2:B31)</f>
        <v>43.91392173878949</v>
      </c>
    </row>
    <row r="8" spans="1:15" x14ac:dyDescent="0.3">
      <c r="A8">
        <v>697</v>
      </c>
      <c r="B8" s="3">
        <v>9.5989039155543345</v>
      </c>
      <c r="C8" s="2">
        <v>0.17494846771503036</v>
      </c>
      <c r="D8" s="1">
        <v>2.6995400017259548</v>
      </c>
      <c r="E8" s="1">
        <f t="shared" si="0"/>
        <v>4.3737116928757591E-2</v>
      </c>
      <c r="F8" s="9">
        <f t="shared" si="1"/>
        <v>75</v>
      </c>
      <c r="G8" s="12">
        <v>1</v>
      </c>
      <c r="H8" s="30">
        <f t="shared" si="2"/>
        <v>74.956262883071247</v>
      </c>
      <c r="I8" s="31">
        <f t="shared" si="3"/>
        <v>7.8088356277439139</v>
      </c>
      <c r="J8" s="32">
        <f t="shared" si="4"/>
        <v>21.887756150407803</v>
      </c>
      <c r="L8" s="10" t="s">
        <v>16</v>
      </c>
      <c r="M8" s="22">
        <f>(SUMPRODUCT(G2:G31,D2:D31)/SUM(D2:D31))</f>
        <v>0.60235962900247031</v>
      </c>
    </row>
    <row r="9" spans="1:15" x14ac:dyDescent="0.3">
      <c r="A9">
        <v>1091</v>
      </c>
      <c r="B9" s="3">
        <v>0.92553085588797601</v>
      </c>
      <c r="C9" s="2">
        <v>88.661022343278077</v>
      </c>
      <c r="D9" s="1">
        <v>2.66143771994926</v>
      </c>
      <c r="E9" s="1">
        <f t="shared" si="0"/>
        <v>22.165255585819519</v>
      </c>
      <c r="F9" s="9">
        <f t="shared" si="1"/>
        <v>75</v>
      </c>
      <c r="G9" s="12">
        <v>1</v>
      </c>
      <c r="H9" s="30">
        <f t="shared" si="2"/>
        <v>52.834744414180477</v>
      </c>
      <c r="I9" s="31">
        <f t="shared" si="3"/>
        <v>57.085881122233992</v>
      </c>
      <c r="J9" s="35">
        <f t="shared" si="4"/>
        <v>20.962225294519826</v>
      </c>
      <c r="L9" s="10" t="s">
        <v>17</v>
      </c>
      <c r="M9" s="22">
        <f>(M5-660.39)/660.39</f>
        <v>0.12391342524603116</v>
      </c>
    </row>
    <row r="10" spans="1:15" x14ac:dyDescent="0.3">
      <c r="A10">
        <v>1044</v>
      </c>
      <c r="B10" s="3">
        <v>0.5610562758446358</v>
      </c>
      <c r="C10" s="2">
        <v>84.301423961499964</v>
      </c>
      <c r="D10" s="1">
        <v>2.6492622052295749</v>
      </c>
      <c r="E10" s="1">
        <f t="shared" si="0"/>
        <v>21.075355990374991</v>
      </c>
      <c r="F10" s="9">
        <f t="shared" si="1"/>
        <v>75</v>
      </c>
      <c r="G10" s="12">
        <v>1</v>
      </c>
      <c r="H10" s="30">
        <f t="shared" si="2"/>
        <v>53.924644009625013</v>
      </c>
      <c r="I10" s="31">
        <f t="shared" si="3"/>
        <v>96.112718690196928</v>
      </c>
      <c r="J10" s="35">
        <f t="shared" si="4"/>
        <v>20.401169018675191</v>
      </c>
      <c r="L10" s="10" t="s">
        <v>37</v>
      </c>
      <c r="M10" s="37">
        <f>SUM(I2:I13)</f>
        <v>555.44375486593776</v>
      </c>
    </row>
    <row r="11" spans="1:15" x14ac:dyDescent="0.3">
      <c r="A11">
        <v>1109</v>
      </c>
      <c r="B11" s="3">
        <v>7.3420481814718386</v>
      </c>
      <c r="C11" s="2">
        <v>0.8047632978806174</v>
      </c>
      <c r="D11" s="1">
        <v>2.5271032160928897</v>
      </c>
      <c r="E11" s="1">
        <f t="shared" si="0"/>
        <v>0.20119082447015435</v>
      </c>
      <c r="F11" s="9">
        <f t="shared" si="1"/>
        <v>75</v>
      </c>
      <c r="G11" s="12">
        <v>1</v>
      </c>
      <c r="H11" s="30">
        <f t="shared" si="2"/>
        <v>74.79880917552984</v>
      </c>
      <c r="I11" s="31">
        <f t="shared" si="3"/>
        <v>10.187730634115118</v>
      </c>
      <c r="J11" s="35">
        <f t="shared" si="4"/>
        <v>13.059120837203352</v>
      </c>
      <c r="L11" s="10" t="s">
        <v>40</v>
      </c>
      <c r="M11" s="22">
        <f>M10/717.77</f>
        <v>0.77384643390771102</v>
      </c>
    </row>
    <row r="12" spans="1:15" x14ac:dyDescent="0.3">
      <c r="A12">
        <v>1094</v>
      </c>
      <c r="B12" s="3">
        <v>3.441588237306096</v>
      </c>
      <c r="C12" s="2">
        <v>66.340574915676257</v>
      </c>
      <c r="D12" s="1">
        <v>2.4948461086784777</v>
      </c>
      <c r="E12" s="1">
        <f t="shared" si="0"/>
        <v>16.585143728919064</v>
      </c>
      <c r="F12" s="9">
        <f t="shared" si="1"/>
        <v>50</v>
      </c>
      <c r="G12" s="12">
        <v>1</v>
      </c>
      <c r="H12" s="30">
        <f t="shared" si="2"/>
        <v>33.414856271080936</v>
      </c>
      <c r="I12" s="31">
        <f t="shared" si="3"/>
        <v>9.7091383300509015</v>
      </c>
      <c r="J12" s="35">
        <f t="shared" si="4"/>
        <v>9.6175325998972561</v>
      </c>
    </row>
    <row r="13" spans="1:15" x14ac:dyDescent="0.3">
      <c r="A13">
        <v>1115</v>
      </c>
      <c r="B13" s="3">
        <v>3.531454338686749</v>
      </c>
      <c r="C13" s="2">
        <v>28.833813284378884</v>
      </c>
      <c r="D13" s="1">
        <v>2.4577556619557446</v>
      </c>
      <c r="E13" s="1">
        <f t="shared" si="0"/>
        <v>7.208453321094721</v>
      </c>
      <c r="F13" s="9">
        <f t="shared" si="1"/>
        <v>50</v>
      </c>
      <c r="G13" s="12">
        <v>1</v>
      </c>
      <c r="H13" s="30">
        <f t="shared" si="2"/>
        <v>42.791546678905277</v>
      </c>
      <c r="I13" s="31">
        <f t="shared" si="3"/>
        <v>12.117258946300939</v>
      </c>
      <c r="J13" s="35">
        <f t="shared" si="4"/>
        <v>6.0860782612105071</v>
      </c>
    </row>
    <row r="14" spans="1:15" x14ac:dyDescent="0.3">
      <c r="A14">
        <v>1014</v>
      </c>
      <c r="B14" s="3">
        <v>9.0506776562361004</v>
      </c>
      <c r="C14" s="2">
        <v>0.71198952660367354</v>
      </c>
      <c r="D14" s="1">
        <v>2.3017811631630205</v>
      </c>
      <c r="E14" s="1">
        <f t="shared" si="0"/>
        <v>0.17799738165091838</v>
      </c>
      <c r="F14" s="9">
        <f t="shared" si="1"/>
        <v>50</v>
      </c>
      <c r="G14" s="12">
        <v>0</v>
      </c>
      <c r="H14" s="30">
        <f t="shared" si="2"/>
        <v>49.822002618349082</v>
      </c>
      <c r="I14" s="31">
        <f t="shared" si="3"/>
        <v>5.5047814661723935</v>
      </c>
      <c r="J14" s="34">
        <f t="shared" si="4"/>
        <v>-2.9645993950255933</v>
      </c>
    </row>
    <row r="15" spans="1:15" x14ac:dyDescent="0.3">
      <c r="A15">
        <v>631</v>
      </c>
      <c r="B15" s="3">
        <v>9.4227545758652536</v>
      </c>
      <c r="C15" s="2">
        <v>0.40188261642927214</v>
      </c>
      <c r="D15" s="1">
        <v>2.0276600868965624</v>
      </c>
      <c r="E15" s="1">
        <f t="shared" si="0"/>
        <v>0.10047065410731804</v>
      </c>
      <c r="F15" s="9">
        <f t="shared" si="1"/>
        <v>50</v>
      </c>
      <c r="G15" s="12">
        <v>0</v>
      </c>
      <c r="H15" s="30">
        <f t="shared" si="2"/>
        <v>49.899529345892681</v>
      </c>
      <c r="I15" s="31">
        <f t="shared" si="3"/>
        <v>5.2956414118756356</v>
      </c>
      <c r="J15" s="34">
        <f t="shared" si="4"/>
        <v>-12.387353970890846</v>
      </c>
      <c r="M15" s="2"/>
    </row>
    <row r="16" spans="1:15" x14ac:dyDescent="0.3">
      <c r="A16">
        <v>570</v>
      </c>
      <c r="B16" s="3">
        <v>4.641911641886189</v>
      </c>
      <c r="C16" s="2">
        <v>0.7361126155005504</v>
      </c>
      <c r="D16" s="1">
        <v>1.9311091598096972</v>
      </c>
      <c r="E16" s="1">
        <f t="shared" si="0"/>
        <v>0.1840281538751376</v>
      </c>
      <c r="F16" s="9">
        <f t="shared" si="1"/>
        <v>50</v>
      </c>
      <c r="G16" s="12">
        <v>0</v>
      </c>
      <c r="H16" s="30">
        <f t="shared" si="2"/>
        <v>49.81597184612486</v>
      </c>
      <c r="I16" s="31">
        <f t="shared" si="3"/>
        <v>10.731779423936363</v>
      </c>
      <c r="J16" s="34">
        <f t="shared" si="4"/>
        <v>-17.029265612777035</v>
      </c>
    </row>
    <row r="17" spans="1:13" x14ac:dyDescent="0.3">
      <c r="A17">
        <v>790</v>
      </c>
      <c r="B17" s="3">
        <v>7.8201937950803906</v>
      </c>
      <c r="C17" s="2">
        <v>3.3189732381488923E-2</v>
      </c>
      <c r="D17" s="1">
        <v>1.8528444424142394</v>
      </c>
      <c r="E17" s="1">
        <f t="shared" si="0"/>
        <v>8.2974330953722308E-3</v>
      </c>
      <c r="F17" s="9">
        <f t="shared" si="1"/>
        <v>50</v>
      </c>
      <c r="G17" s="12">
        <v>0</v>
      </c>
      <c r="H17" s="30">
        <f t="shared" si="2"/>
        <v>49.991702566904628</v>
      </c>
      <c r="I17" s="31">
        <f t="shared" si="3"/>
        <v>6.3926424174237129</v>
      </c>
      <c r="J17" s="34">
        <f t="shared" si="4"/>
        <v>-24.849459407857424</v>
      </c>
    </row>
    <row r="18" spans="1:13" x14ac:dyDescent="0.3">
      <c r="A18">
        <v>836</v>
      </c>
      <c r="B18" s="3">
        <v>8.2176486062281029</v>
      </c>
      <c r="C18" s="2">
        <v>0.17799302280316898</v>
      </c>
      <c r="D18" s="1">
        <v>1.7590900459121823</v>
      </c>
      <c r="E18" s="1">
        <f t="shared" si="0"/>
        <v>4.4498255700792244E-2</v>
      </c>
      <c r="F18" s="9">
        <f t="shared" si="1"/>
        <v>50</v>
      </c>
      <c r="G18" s="12">
        <v>0</v>
      </c>
      <c r="H18" s="30">
        <f t="shared" si="2"/>
        <v>49.955501744299205</v>
      </c>
      <c r="I18" s="31">
        <f t="shared" si="3"/>
        <v>6.0790506065735466</v>
      </c>
      <c r="J18" s="34">
        <f t="shared" si="4"/>
        <v>-33.067108014085527</v>
      </c>
    </row>
    <row r="19" spans="1:13" x14ac:dyDescent="0.3">
      <c r="A19">
        <v>91</v>
      </c>
      <c r="B19" s="3">
        <v>0.33735976863779937</v>
      </c>
      <c r="C19" s="2">
        <v>47.435302492539634</v>
      </c>
      <c r="D19" s="1">
        <v>1.403178780418642</v>
      </c>
      <c r="E19" s="1">
        <f t="shared" si="0"/>
        <v>11.858825623134909</v>
      </c>
      <c r="F19" s="9">
        <f t="shared" si="1"/>
        <v>25</v>
      </c>
      <c r="G19" s="12">
        <v>0</v>
      </c>
      <c r="H19" s="30">
        <f t="shared" si="2"/>
        <v>13.141174376865091</v>
      </c>
      <c r="I19" s="31">
        <f t="shared" si="3"/>
        <v>38.952997952088033</v>
      </c>
      <c r="J19" s="34">
        <f t="shared" si="4"/>
        <v>-33.404467782723323</v>
      </c>
    </row>
    <row r="20" spans="1:13" x14ac:dyDescent="0.3">
      <c r="A20">
        <v>1035</v>
      </c>
      <c r="B20" s="3">
        <v>6.5297033608495365</v>
      </c>
      <c r="C20" s="2">
        <v>2.054150321596504E-2</v>
      </c>
      <c r="D20" s="1">
        <v>1.3756516629534754</v>
      </c>
      <c r="E20" s="1">
        <f t="shared" si="0"/>
        <v>5.13537580399126E-3</v>
      </c>
      <c r="F20" s="9">
        <f t="shared" si="1"/>
        <v>25</v>
      </c>
      <c r="G20" s="12">
        <v>0</v>
      </c>
      <c r="H20" s="30">
        <f t="shared" si="2"/>
        <v>24.994864624196008</v>
      </c>
      <c r="I20" s="31">
        <f t="shared" si="3"/>
        <v>3.8278713814258314</v>
      </c>
      <c r="J20" s="34">
        <f t="shared" si="4"/>
        <v>-39.934171143572861</v>
      </c>
    </row>
    <row r="21" spans="1:13" x14ac:dyDescent="0.3">
      <c r="A21">
        <v>802</v>
      </c>
      <c r="B21" s="3">
        <v>7.1043214039770586</v>
      </c>
      <c r="C21" s="2">
        <v>0.39843641945495056</v>
      </c>
      <c r="D21" s="1">
        <v>1.3545336572317539</v>
      </c>
      <c r="E21" s="1">
        <f t="shared" si="0"/>
        <v>9.9609104863737641E-2</v>
      </c>
      <c r="F21" s="9">
        <f t="shared" si="1"/>
        <v>25</v>
      </c>
      <c r="G21" s="12">
        <v>0</v>
      </c>
      <c r="H21" s="30">
        <f t="shared" si="2"/>
        <v>24.900390895136262</v>
      </c>
      <c r="I21" s="31">
        <f t="shared" si="3"/>
        <v>3.5049640182659552</v>
      </c>
      <c r="J21" s="34">
        <f t="shared" si="4"/>
        <v>-47.038492547549922</v>
      </c>
    </row>
    <row r="22" spans="1:13" x14ac:dyDescent="0.3">
      <c r="A22">
        <v>1104</v>
      </c>
      <c r="B22" s="3">
        <v>2.4110866230520589</v>
      </c>
      <c r="C22" s="2">
        <v>87.68549569993786</v>
      </c>
      <c r="D22" s="1">
        <v>1.2292350199888231</v>
      </c>
      <c r="E22" s="1">
        <f t="shared" si="0"/>
        <v>21.921373924984465</v>
      </c>
      <c r="F22" s="9">
        <f t="shared" si="1"/>
        <v>25</v>
      </c>
      <c r="G22" s="12">
        <v>0</v>
      </c>
      <c r="H22" s="30">
        <f t="shared" si="2"/>
        <v>3.078626075015535</v>
      </c>
      <c r="I22" s="31">
        <f t="shared" si="3"/>
        <v>1.2768624924468601</v>
      </c>
      <c r="J22" s="34">
        <f t="shared" si="4"/>
        <v>-49.449579170601979</v>
      </c>
    </row>
    <row r="23" spans="1:13" x14ac:dyDescent="0.3">
      <c r="A23">
        <v>755</v>
      </c>
      <c r="B23" s="3">
        <v>0.53430713571528288</v>
      </c>
      <c r="C23" s="2">
        <v>88.099969932523493</v>
      </c>
      <c r="D23" s="1">
        <v>1.2079509469533682</v>
      </c>
      <c r="E23" s="1">
        <f t="shared" si="0"/>
        <v>22.024992483130873</v>
      </c>
      <c r="F23" s="9">
        <f t="shared" si="1"/>
        <v>25</v>
      </c>
      <c r="G23" s="12">
        <v>0</v>
      </c>
      <c r="H23" s="30">
        <f t="shared" si="2"/>
        <v>2.9750075168691268</v>
      </c>
      <c r="I23" s="31">
        <f t="shared" si="3"/>
        <v>5.5679726472049662</v>
      </c>
      <c r="J23" s="34">
        <f t="shared" si="4"/>
        <v>-49.98388630631726</v>
      </c>
    </row>
    <row r="24" spans="1:13" x14ac:dyDescent="0.3">
      <c r="A24">
        <v>762</v>
      </c>
      <c r="B24" s="3">
        <v>0.45024089787638277</v>
      </c>
      <c r="C24" s="2">
        <v>99.337194752892017</v>
      </c>
      <c r="D24" s="1">
        <v>1.2038968510307821</v>
      </c>
      <c r="E24" s="1">
        <f t="shared" si="0"/>
        <v>24.834298688223004</v>
      </c>
      <c r="F24" s="9">
        <f t="shared" si="1"/>
        <v>25</v>
      </c>
      <c r="G24" s="12">
        <v>0</v>
      </c>
      <c r="H24" s="30">
        <f t="shared" si="2"/>
        <v>0.16570131177699565</v>
      </c>
      <c r="I24" s="31">
        <f t="shared" si="3"/>
        <v>0.36802812129805734</v>
      </c>
      <c r="J24" s="34">
        <f t="shared" si="4"/>
        <v>-50.434127204193643</v>
      </c>
    </row>
    <row r="25" spans="1:13" x14ac:dyDescent="0.3">
      <c r="A25">
        <v>872</v>
      </c>
      <c r="B25" s="3">
        <v>5.8911859065317298</v>
      </c>
      <c r="C25" s="2">
        <v>0.32542690615354752</v>
      </c>
      <c r="D25" s="1">
        <v>0.92378802779970148</v>
      </c>
      <c r="E25" s="1">
        <f t="shared" si="0"/>
        <v>8.1356726538386881E-2</v>
      </c>
      <c r="F25" s="9">
        <f t="shared" si="1"/>
        <v>25</v>
      </c>
      <c r="G25" s="12">
        <v>0</v>
      </c>
      <c r="H25" s="30">
        <f t="shared" si="2"/>
        <v>24.918643273461612</v>
      </c>
      <c r="I25" s="31">
        <f t="shared" si="3"/>
        <v>4.2298178446267647</v>
      </c>
      <c r="J25" s="34">
        <f t="shared" si="4"/>
        <v>-56.325313110725375</v>
      </c>
    </row>
    <row r="26" spans="1:13" x14ac:dyDescent="0.3">
      <c r="A26">
        <v>707</v>
      </c>
      <c r="B26" s="3">
        <v>0.42070180467416507</v>
      </c>
      <c r="C26" s="2">
        <v>90.364466751957792</v>
      </c>
      <c r="D26" s="1">
        <v>0.68573498692666646</v>
      </c>
      <c r="E26" s="1">
        <f t="shared" si="0"/>
        <v>22.591116687989448</v>
      </c>
      <c r="F26" s="9">
        <f t="shared" si="1"/>
        <v>25</v>
      </c>
      <c r="G26" s="12">
        <v>0</v>
      </c>
      <c r="H26" s="30">
        <f t="shared" si="2"/>
        <v>2.4088833120105519</v>
      </c>
      <c r="I26" s="31">
        <f t="shared" si="3"/>
        <v>5.7258687394418004</v>
      </c>
      <c r="J26" s="34">
        <f t="shared" si="4"/>
        <v>-56.746014915399542</v>
      </c>
    </row>
    <row r="27" spans="1:13" x14ac:dyDescent="0.3">
      <c r="A27">
        <v>971</v>
      </c>
      <c r="B27" s="3">
        <v>0.33898337185350957</v>
      </c>
      <c r="C27" s="2">
        <v>91.732859570614224</v>
      </c>
      <c r="D27" s="1">
        <v>0.64675650793850092</v>
      </c>
      <c r="E27" s="1">
        <f t="shared" si="0"/>
        <v>22.933214892653556</v>
      </c>
      <c r="F27" s="9">
        <f t="shared" si="1"/>
        <v>25</v>
      </c>
      <c r="G27" s="12">
        <v>0</v>
      </c>
      <c r="H27" s="30">
        <f t="shared" si="2"/>
        <v>2.0667851073464441</v>
      </c>
      <c r="I27" s="31">
        <f t="shared" si="3"/>
        <v>6.0970102929992613</v>
      </c>
      <c r="J27" s="34">
        <f t="shared" si="4"/>
        <v>-57.08499828725305</v>
      </c>
    </row>
    <row r="28" spans="1:13" x14ac:dyDescent="0.3">
      <c r="A28">
        <v>962</v>
      </c>
      <c r="B28" s="3">
        <v>0.3621252484718851</v>
      </c>
      <c r="C28" s="2">
        <v>95.408128218027827</v>
      </c>
      <c r="D28" s="1">
        <v>0.61690368932313355</v>
      </c>
      <c r="E28" s="1">
        <f t="shared" si="0"/>
        <v>23.852032054506957</v>
      </c>
      <c r="F28" s="9">
        <f t="shared" si="1"/>
        <v>25</v>
      </c>
      <c r="G28" s="12">
        <v>0</v>
      </c>
      <c r="H28" s="30">
        <f t="shared" si="2"/>
        <v>1.1479679454930434</v>
      </c>
      <c r="I28" s="31">
        <f t="shared" si="3"/>
        <v>3.1700853512349609</v>
      </c>
      <c r="J28" s="34">
        <f t="shared" si="4"/>
        <v>-57.447123535724934</v>
      </c>
      <c r="M28" s="2"/>
    </row>
    <row r="29" spans="1:13" x14ac:dyDescent="0.3">
      <c r="A29">
        <v>207</v>
      </c>
      <c r="B29" s="3">
        <v>0.53226354816753751</v>
      </c>
      <c r="C29" s="2">
        <v>36.389595342580009</v>
      </c>
      <c r="D29" s="1">
        <v>0.55340951299649488</v>
      </c>
      <c r="E29" s="1">
        <f t="shared" si="0"/>
        <v>9.0973988356450022</v>
      </c>
      <c r="F29" s="9">
        <f t="shared" si="1"/>
        <v>25</v>
      </c>
      <c r="G29" s="12">
        <v>0</v>
      </c>
      <c r="H29" s="30">
        <f t="shared" si="2"/>
        <v>15.902601164354998</v>
      </c>
      <c r="I29" s="31">
        <f t="shared" si="3"/>
        <v>29.877306494318539</v>
      </c>
      <c r="J29" s="34">
        <f t="shared" si="4"/>
        <v>-57.979387083892469</v>
      </c>
      <c r="M29" s="18"/>
    </row>
    <row r="30" spans="1:13" x14ac:dyDescent="0.3">
      <c r="A30">
        <v>1098</v>
      </c>
      <c r="B30" s="3">
        <v>0.69534260741033416</v>
      </c>
      <c r="C30" s="2">
        <v>48.204808004424237</v>
      </c>
      <c r="D30" s="1">
        <v>0.31486619023461765</v>
      </c>
      <c r="E30" s="1">
        <f t="shared" si="0"/>
        <v>12.051202001106059</v>
      </c>
      <c r="F30" s="9">
        <v>25</v>
      </c>
      <c r="G30" s="12">
        <v>0</v>
      </c>
      <c r="H30" s="30">
        <f t="shared" si="2"/>
        <v>12.948797998893941</v>
      </c>
      <c r="I30" s="31">
        <f t="shared" si="3"/>
        <v>18.622184029710439</v>
      </c>
      <c r="J30" s="34">
        <f t="shared" si="4"/>
        <v>-58.674729691302801</v>
      </c>
    </row>
    <row r="31" spans="1:13" x14ac:dyDescent="0.3">
      <c r="A31">
        <v>954</v>
      </c>
      <c r="B31" s="3">
        <v>3.5213995169796286</v>
      </c>
      <c r="C31" s="2">
        <v>4.1259991134545704E-2</v>
      </c>
      <c r="D31" s="1">
        <v>0.25512942873062083</v>
      </c>
      <c r="E31" s="1">
        <f t="shared" si="0"/>
        <v>1.0314997783636426E-2</v>
      </c>
      <c r="F31" s="9">
        <f>25</f>
        <v>25</v>
      </c>
      <c r="G31" s="12">
        <v>0</v>
      </c>
      <c r="H31" s="30">
        <f t="shared" si="2"/>
        <v>24.989685002216362</v>
      </c>
      <c r="I31" s="31">
        <f t="shared" si="3"/>
        <v>7.0965208240985076</v>
      </c>
      <c r="J31" s="34">
        <f t="shared" si="4"/>
        <v>-62.196129208282429</v>
      </c>
    </row>
  </sheetData>
  <sortState xmlns:xlrd2="http://schemas.microsoft.com/office/spreadsheetml/2017/richdata2" ref="A2:G31">
    <sortCondition descending="1" ref="F2:F31"/>
    <sortCondition descending="1" ref="D2:D31"/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F89ED-F642-49D5-9025-F614FB310846}">
  <sheetPr codeName="Sheet9"/>
  <dimension ref="A2:D27"/>
  <sheetViews>
    <sheetView zoomScale="70" zoomScaleNormal="70" workbookViewId="0">
      <selection activeCell="T11" sqref="T11"/>
    </sheetView>
  </sheetViews>
  <sheetFormatPr defaultRowHeight="14.4" x14ac:dyDescent="0.3"/>
  <cols>
    <col min="1" max="1" width="20.21875" customWidth="1"/>
    <col min="2" max="2" width="31.21875" bestFit="1" customWidth="1"/>
    <col min="3" max="3" width="19.33203125" bestFit="1" customWidth="1"/>
    <col min="4" max="4" width="9.88671875" customWidth="1"/>
  </cols>
  <sheetData>
    <row r="2" spans="1:3" x14ac:dyDescent="0.3">
      <c r="A2" s="13" t="s">
        <v>22</v>
      </c>
      <c r="B2" s="13" t="s">
        <v>10</v>
      </c>
      <c r="C2" s="13" t="s">
        <v>38</v>
      </c>
    </row>
    <row r="3" spans="1:3" x14ac:dyDescent="0.3">
      <c r="A3" t="s">
        <v>23</v>
      </c>
      <c r="B3" s="26">
        <f>49.96/50</f>
        <v>0.99919999999999998</v>
      </c>
      <c r="C3" s="25">
        <v>0.7</v>
      </c>
    </row>
    <row r="4" spans="1:3" x14ac:dyDescent="0.3">
      <c r="A4" t="s">
        <v>18</v>
      </c>
      <c r="B4" s="26">
        <f>46.97/50</f>
        <v>0.93940000000000001</v>
      </c>
      <c r="C4" s="25">
        <v>0.67</v>
      </c>
    </row>
    <row r="5" spans="1:3" x14ac:dyDescent="0.3">
      <c r="A5" t="s">
        <v>19</v>
      </c>
      <c r="B5" s="26">
        <f>48.68/50</f>
        <v>0.97360000000000002</v>
      </c>
      <c r="C5" s="25">
        <v>0.19</v>
      </c>
    </row>
    <row r="6" spans="1:3" x14ac:dyDescent="0.3">
      <c r="A6" t="s">
        <v>20</v>
      </c>
      <c r="B6" s="26">
        <f>43.91/50</f>
        <v>0.87819999999999998</v>
      </c>
      <c r="C6" s="25">
        <v>0.6</v>
      </c>
    </row>
    <row r="7" spans="1:3" x14ac:dyDescent="0.3">
      <c r="A7" t="s">
        <v>30</v>
      </c>
      <c r="B7" s="26">
        <f>44.76/50</f>
        <v>0.8952</v>
      </c>
      <c r="C7" s="25">
        <v>0.55000000000000004</v>
      </c>
    </row>
    <row r="8" spans="1:3" x14ac:dyDescent="0.3">
      <c r="A8" t="s">
        <v>31</v>
      </c>
      <c r="B8" s="26">
        <f>50.77/50</f>
        <v>1.0154000000000001</v>
      </c>
      <c r="C8" s="25">
        <v>0.7</v>
      </c>
    </row>
    <row r="9" spans="1:3" x14ac:dyDescent="0.3">
      <c r="A9" t="s">
        <v>32</v>
      </c>
      <c r="B9" s="26">
        <f>43.91/50</f>
        <v>0.87819999999999998</v>
      </c>
      <c r="C9" s="25">
        <v>0.6</v>
      </c>
    </row>
    <row r="11" spans="1:3" x14ac:dyDescent="0.3">
      <c r="A11" s="13" t="s">
        <v>22</v>
      </c>
      <c r="B11" s="13" t="s">
        <v>21</v>
      </c>
    </row>
    <row r="12" spans="1:3" x14ac:dyDescent="0.3">
      <c r="A12" t="s">
        <v>23</v>
      </c>
      <c r="B12">
        <v>660.39</v>
      </c>
    </row>
    <row r="13" spans="1:3" x14ac:dyDescent="0.3">
      <c r="A13" t="s">
        <v>18</v>
      </c>
      <c r="B13">
        <v>786</v>
      </c>
    </row>
    <row r="14" spans="1:3" x14ac:dyDescent="0.3">
      <c r="A14" t="s">
        <v>19</v>
      </c>
      <c r="B14">
        <v>1150.29</v>
      </c>
    </row>
    <row r="15" spans="1:3" x14ac:dyDescent="0.3">
      <c r="A15" t="s">
        <v>20</v>
      </c>
      <c r="B15">
        <v>742.22</v>
      </c>
    </row>
    <row r="16" spans="1:3" x14ac:dyDescent="0.3">
      <c r="A16" t="s">
        <v>30</v>
      </c>
      <c r="B16">
        <v>768.44</v>
      </c>
    </row>
    <row r="17" spans="1:4" x14ac:dyDescent="0.3">
      <c r="A17" t="s">
        <v>31</v>
      </c>
      <c r="B17">
        <v>660.41</v>
      </c>
    </row>
    <row r="18" spans="1:4" x14ac:dyDescent="0.3">
      <c r="A18" t="s">
        <v>32</v>
      </c>
      <c r="B18">
        <v>742.22</v>
      </c>
    </row>
    <row r="20" spans="1:4" x14ac:dyDescent="0.3">
      <c r="A20" s="13" t="s">
        <v>22</v>
      </c>
      <c r="B20" s="13" t="s">
        <v>40</v>
      </c>
      <c r="C20" s="13" t="s">
        <v>39</v>
      </c>
      <c r="D20" s="13" t="s">
        <v>41</v>
      </c>
    </row>
    <row r="21" spans="1:4" x14ac:dyDescent="0.3">
      <c r="A21" t="s">
        <v>23</v>
      </c>
      <c r="B21" s="25">
        <v>0.34</v>
      </c>
      <c r="C21" s="25">
        <v>0.69599999999999995</v>
      </c>
      <c r="D21" s="26">
        <f>B12/5509.97</f>
        <v>0.119853647116046</v>
      </c>
    </row>
    <row r="22" spans="1:4" x14ac:dyDescent="0.3">
      <c r="A22" t="s">
        <v>18</v>
      </c>
      <c r="B22" s="25">
        <v>0.92</v>
      </c>
      <c r="C22" s="25">
        <v>0.67</v>
      </c>
      <c r="D22" s="26">
        <f t="shared" ref="D22:D27" si="0">B13/5509.97</f>
        <v>0.14265050444920752</v>
      </c>
    </row>
    <row r="23" spans="1:4" x14ac:dyDescent="0.3">
      <c r="A23" t="s">
        <v>19</v>
      </c>
      <c r="B23" s="25">
        <v>0.05</v>
      </c>
      <c r="C23" s="25">
        <v>0.19</v>
      </c>
      <c r="D23" s="26">
        <f t="shared" si="0"/>
        <v>0.20876520198839557</v>
      </c>
    </row>
    <row r="24" spans="1:4" x14ac:dyDescent="0.3">
      <c r="A24" t="s">
        <v>20</v>
      </c>
      <c r="B24" s="25">
        <v>0.77</v>
      </c>
      <c r="C24" s="25">
        <v>0.6</v>
      </c>
      <c r="D24" s="26">
        <f t="shared" si="0"/>
        <v>0.13470490764922494</v>
      </c>
    </row>
    <row r="25" spans="1:4" x14ac:dyDescent="0.3">
      <c r="A25" t="s">
        <v>30</v>
      </c>
      <c r="B25" s="25">
        <v>0.75</v>
      </c>
      <c r="C25" s="25">
        <v>0.55000000000000004</v>
      </c>
      <c r="D25" s="26">
        <f t="shared" si="0"/>
        <v>0.13946355424802676</v>
      </c>
    </row>
    <row r="26" spans="1:4" x14ac:dyDescent="0.3">
      <c r="A26" t="s">
        <v>31</v>
      </c>
      <c r="B26" s="25">
        <v>0.79</v>
      </c>
      <c r="C26" s="25">
        <v>0.69799999999999995</v>
      </c>
      <c r="D26" s="26">
        <f t="shared" si="0"/>
        <v>0.11985727689987422</v>
      </c>
    </row>
    <row r="27" spans="1:4" x14ac:dyDescent="0.3">
      <c r="A27" t="s">
        <v>32</v>
      </c>
      <c r="B27" s="25">
        <v>0.77</v>
      </c>
      <c r="C27" s="25">
        <v>0.6</v>
      </c>
      <c r="D27" s="26">
        <f t="shared" si="0"/>
        <v>0.13470490764922494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Raw Data</vt:lpstr>
      <vt:lpstr>Macro Sheet (Don't Delete)</vt:lpstr>
      <vt:lpstr>New Stocked Parts</vt:lpstr>
      <vt:lpstr>Replication</vt:lpstr>
      <vt:lpstr>Test Data</vt:lpstr>
      <vt:lpstr>Heuristic 1</vt:lpstr>
      <vt:lpstr>Heuristic 2</vt:lpstr>
      <vt:lpstr>Heuristic 3</vt:lpstr>
      <vt:lpstr>Developed Heuristic 1</vt:lpstr>
      <vt:lpstr>Dev. Heuristic 2</vt:lpstr>
      <vt:lpstr>Dev. Heuristic 3</vt:lpstr>
      <vt:lpstr>Graphs</vt:lpstr>
      <vt:lpstr>'Raw Data'!_FilterDatabase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Gorman</dc:creator>
  <cp:lastModifiedBy>SaiDheeraj Kanaparthi</cp:lastModifiedBy>
  <dcterms:created xsi:type="dcterms:W3CDTF">2017-12-05T20:18:45Z</dcterms:created>
  <dcterms:modified xsi:type="dcterms:W3CDTF">2023-06-23T06:16:52Z</dcterms:modified>
</cp:coreProperties>
</file>